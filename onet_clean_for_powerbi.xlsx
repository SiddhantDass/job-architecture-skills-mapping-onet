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13_ncr:1_{22747636-AD18-4551-914A-7CF67ADCEBF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ADME" sheetId="1" r:id="rId1"/>
    <sheet name="Skill Matrix" sheetId="2" r:id="rId2"/>
    <sheet name="Skills" sheetId="3" r:id="rId3"/>
    <sheet name="JobZones" sheetId="4" r:id="rId4"/>
    <sheet name="Scope 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J16" i="2"/>
  <c r="I16" i="2"/>
  <c r="H16" i="2"/>
  <c r="G16" i="2"/>
  <c r="F16" i="2"/>
  <c r="E16" i="2"/>
  <c r="D16" i="2"/>
  <c r="C16" i="2"/>
  <c r="B16" i="2"/>
  <c r="K15" i="2"/>
  <c r="J15" i="2"/>
  <c r="I15" i="2"/>
  <c r="H15" i="2"/>
  <c r="G15" i="2"/>
  <c r="F15" i="2"/>
  <c r="E15" i="2"/>
  <c r="D15" i="2"/>
  <c r="C15" i="2"/>
  <c r="B15" i="2"/>
  <c r="K14" i="2"/>
  <c r="J14" i="2"/>
  <c r="I14" i="2"/>
  <c r="H14" i="2"/>
  <c r="G14" i="2"/>
  <c r="F14" i="2"/>
  <c r="E14" i="2"/>
  <c r="D14" i="2"/>
  <c r="C14" i="2"/>
  <c r="B14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<sst xmlns="http://schemas.openxmlformats.org/spreadsheetml/2006/main" count="898" uniqueCount="105">
  <si>
    <t>JOB ARCHITECTURE &amp; SKILLS MAPPING | O*NET</t>
  </si>
  <si>
    <t>Purpose</t>
  </si>
  <si>
    <t>Compare common skill-importance patterns across HR, people operations, and closely related administrative/analytical occupations. Use the comparison as a starting point for role architecture and internal mobility discussions.</t>
  </si>
  <si>
    <t>Source</t>
  </si>
  <si>
    <t>User-provided Occupation Data.xlsx. Source tabs used: Occupation_Data, Essential_Skills_List, and Job_Zone. O*NET occupational reference data; source workbook did not include a separate full Skills.xlsx file.</t>
  </si>
  <si>
    <t>Scope</t>
  </si>
  <si>
    <t>15 occupations: core HR/People roles plus adjacent HR operations, administrative support, management analysis, and project roles. Scope rationale and data coverage are shown in Scope List.</t>
  </si>
  <si>
    <t>Skill filter</t>
  </si>
  <si>
    <t>Essential_Skills_List rows filtered to Scale ID = IM (Importance). Ratings are retained on the source O*NET 0–5 scale; sample size, standard error, confidence bounds, and suppression flag are retained where present.</t>
  </si>
  <si>
    <t>Coverage</t>
  </si>
  <si>
    <t>The supplied Essential_Skills_List has 10 skill elements and 140 in-scope IM rows. One selected occupation has no matching essential-skill rows; Job Zone records are available for 14 of 15 selected occupations. Check Scope List before interpreting blanks.</t>
  </si>
  <si>
    <t>Method</t>
  </si>
  <si>
    <t>Scope occupations by O*NET-SOC Code; retain IM ratings; join readable titles and Job Zone by code; summarize the flat Skills table as average importance by occupation and skill in Skill Matrix. Skills and JobZones are Power BI-ready tables with O*NET-SOC Code as the relationship key.</t>
  </si>
  <si>
    <t>Data limits</t>
  </si>
  <si>
    <t>These are national occupational reference ratings, not your employer’s job requirements or a validated job evaluation. A blank means this supplied extract has no matching row. The narrow Essential Skills List extract is not a complete catalog of O*NET skills.</t>
  </si>
  <si>
    <t>Findings</t>
  </si>
  <si>
    <t>Across the available scoped ratings, Active Listening has the highest mean importance (4.05), followed by Reading Comprehension (3.99) and Speaking (3.95). Mathematics averages 2.73 and Science 1.48; HR Managers rate Active Listening 4.38. These comparisons describe the supplied national data only.</t>
  </si>
  <si>
    <t>Power BI next steps</t>
  </si>
  <si>
    <t>Load Skills and JobZones, relate their O*NET-SOC Code fields (many-to-one from Skills to JobZones), add Avg Skill Importance = AVERAGE(Skills[Importance Rating (IM)]), then use a Matrix visual and Job Zone slicer.</t>
  </si>
  <si>
    <t>Not included</t>
  </si>
  <si>
    <t>A .pbix file and dashboard screenshots are not included; this workbook prepares the filtered data and Excel heat-map checkpoint for those steps.</t>
  </si>
  <si>
    <t>Job Title</t>
  </si>
  <si>
    <t>Active Learning</t>
  </si>
  <si>
    <t>Active Listening</t>
  </si>
  <si>
    <t>Critical Thinking</t>
  </si>
  <si>
    <t>Learning Strategies</t>
  </si>
  <si>
    <t>Mathematics</t>
  </si>
  <si>
    <t>Monitoring</t>
  </si>
  <si>
    <t>Reading Comprehension</t>
  </si>
  <si>
    <t>Science</t>
  </si>
  <si>
    <t>Speaking</t>
  </si>
  <si>
    <t>Writing</t>
  </si>
  <si>
    <t>Administrative Services Managers</t>
  </si>
  <si>
    <t>Compensation and Benefits Managers</t>
  </si>
  <si>
    <t>Human Resources Managers</t>
  </si>
  <si>
    <t>Training and Development Managers</t>
  </si>
  <si>
    <t>Human Resources Specialists</t>
  </si>
  <si>
    <t>Labor Relations Specialists</t>
  </si>
  <si>
    <t>Compensation, Benefits, and Job Analysis Specialists</t>
  </si>
  <si>
    <t>Training and Development Specialists</t>
  </si>
  <si>
    <t>Business Operations Specialists, All Other</t>
  </si>
  <si>
    <t>Industrial-Organizational Psychologists</t>
  </si>
  <si>
    <t>Payroll and Timekeeping Clerks</t>
  </si>
  <si>
    <t>Human Resources Assistants, Except Payroll and Timekeeping</t>
  </si>
  <si>
    <t>Management Analysts</t>
  </si>
  <si>
    <t>Project Management Specialists</t>
  </si>
  <si>
    <t>First-Line Supervisors of Office and Administrative Support Workers</t>
  </si>
  <si>
    <t>O*NET-SOC Code</t>
  </si>
  <si>
    <t>Element ID</t>
  </si>
  <si>
    <t>Element Name</t>
  </si>
  <si>
    <t>Importance Rating (IM)</t>
  </si>
  <si>
    <t>N</t>
  </si>
  <si>
    <t>Standard Error</t>
  </si>
  <si>
    <t>Lower CI Bound</t>
  </si>
  <si>
    <t>Upper CI Bound</t>
  </si>
  <si>
    <t>Recommend Suppress</t>
  </si>
  <si>
    <t>11-3012.00</t>
  </si>
  <si>
    <t>2.A.1.a</t>
  </si>
  <si>
    <t>2.A.1.b</t>
  </si>
  <si>
    <t>2.A.1.c</t>
  </si>
  <si>
    <t>2.A.1.d</t>
  </si>
  <si>
    <t>2.A.1.e</t>
  </si>
  <si>
    <t>2.A.1.f</t>
  </si>
  <si>
    <t>2.A.2.a</t>
  </si>
  <si>
    <t>2.A.2.b</t>
  </si>
  <si>
    <t>2.A.2.c</t>
  </si>
  <si>
    <t>2.A.2.d</t>
  </si>
  <si>
    <t>11-3111.00</t>
  </si>
  <si>
    <t>11-3121.00</t>
  </si>
  <si>
    <t>11-3131.00</t>
  </si>
  <si>
    <t>13-1071.00</t>
  </si>
  <si>
    <t>13-1075.00</t>
  </si>
  <si>
    <t>13-1082.00</t>
  </si>
  <si>
    <t>13-1111.00</t>
  </si>
  <si>
    <t>13-1141.00</t>
  </si>
  <si>
    <t>13-1151.00</t>
  </si>
  <si>
    <t>19-3032.00</t>
  </si>
  <si>
    <t>43-1011.00</t>
  </si>
  <si>
    <t>43-3051.00</t>
  </si>
  <si>
    <t>43-4161.00</t>
  </si>
  <si>
    <t>Job Zone</t>
  </si>
  <si>
    <t>Date</t>
  </si>
  <si>
    <t>Domain Source</t>
  </si>
  <si>
    <t>07/2017</t>
  </si>
  <si>
    <t>Analyst</t>
  </si>
  <si>
    <t>08/2023</t>
  </si>
  <si>
    <t>08/2025</t>
  </si>
  <si>
    <t>08/2024</t>
  </si>
  <si>
    <t>08/2019</t>
  </si>
  <si>
    <t>08/2026</t>
  </si>
  <si>
    <t>08/2022</t>
  </si>
  <si>
    <t>07/2015</t>
  </si>
  <si>
    <t>Title</t>
  </si>
  <si>
    <t>Scope Group</t>
  </si>
  <si>
    <t>Selection Rationale</t>
  </si>
  <si>
    <t>Essential Skills Data?</t>
  </si>
  <si>
    <t>HR Operations / Administration</t>
  </si>
  <si>
    <t>Adjacent HR operations, payroll, or administrative support role</t>
  </si>
  <si>
    <t>Yes</t>
  </si>
  <si>
    <t>Core HR / People</t>
  </si>
  <si>
    <t>Direct HR, employee relations, rewards, learning, or organizational psychology role</t>
  </si>
  <si>
    <t>13-1199.00</t>
  </si>
  <si>
    <t>Adjacent People / Business Operations</t>
  </si>
  <si>
    <t>Adjacent analytical or project role with transferable people-operations skills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</si>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</sst>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2" fillId="3" borderId="0" xfId="0" applyFont="1" applyFill="1"/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killMatrixTable" displayName="SkillMatrixTable" ref="A1:K16" totalsRowShown="0">
  <tableColumns count="11">
    <tableColumn id="1" xr3:uid="{00000000-0010-0000-0000-000001000000}" name="Job Title"/>
    <tableColumn id="2" xr3:uid="{00000000-0010-0000-0000-000002000000}" name="Active Learning"/>
    <tableColumn id="3" xr3:uid="{00000000-0010-0000-0000-000003000000}" name="Active Listening"/>
    <tableColumn id="4" xr3:uid="{00000000-0010-0000-0000-000004000000}" name="Critical Thinking"/>
    <tableColumn id="5" xr3:uid="{00000000-0010-0000-0000-000005000000}" name="Learning Strategies"/>
    <tableColumn id="6" xr3:uid="{00000000-0010-0000-0000-000006000000}" name="Mathematics"/>
    <tableColumn id="7" xr3:uid="{00000000-0010-0000-0000-000007000000}" name="Monitoring"/>
    <tableColumn id="8" xr3:uid="{00000000-0010-0000-0000-000008000000}" name="Reading Comprehension"/>
    <tableColumn id="9" xr3:uid="{00000000-0010-0000-0000-000009000000}" name="Science"/>
    <tableColumn id="10" xr3:uid="{00000000-0010-0000-0000-00000A000000}" name="Speaking"/>
    <tableColumn id="11" xr3:uid="{00000000-0010-0000-0000-00000B000000}" name="Wri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killsTable" displayName="SkillsTable" ref="A1:J141" totalsRowShown="0">
  <autoFilter ref="A1:J141" xr:uid="{00000000-000C-0000-FFFF-FFFF01000000}"/>
  <tableColumns count="10">
    <tableColumn id="1" xr3:uid="{00000000-0010-0000-0100-000001000000}" name="O*NET-SOC Code"/>
    <tableColumn id="2" xr3:uid="{00000000-0010-0000-0100-000002000000}" name="Job Title"/>
    <tableColumn id="3" xr3:uid="{00000000-0010-0000-0100-000003000000}" name="Element ID"/>
    <tableColumn id="4" xr3:uid="{00000000-0010-0000-0100-000004000000}" name="Element Name"/>
    <tableColumn id="5" xr3:uid="{00000000-0010-0000-0100-000005000000}" name="Importance Rating (IM)"/>
    <tableColumn id="6" xr3:uid="{00000000-0010-0000-0100-000006000000}" name="N"/>
    <tableColumn id="7" xr3:uid="{00000000-0010-0000-0100-000007000000}" name="Standard Error"/>
    <tableColumn id="8" xr3:uid="{00000000-0010-0000-0100-000008000000}" name="Lower CI Bound"/>
    <tableColumn id="9" xr3:uid="{00000000-0010-0000-0100-000009000000}" name="Upper CI Bound"/>
    <tableColumn id="10" xr3:uid="{00000000-0010-0000-0100-00000A000000}" name="Recommend Suppr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obZonesTable" displayName="JobZonesTable" ref="A1:E15" totalsRowShown="0">
  <autoFilter ref="A1:E15" xr:uid="{00000000-000C-0000-FFFF-FFFF02000000}"/>
  <tableColumns count="5">
    <tableColumn id="1" xr3:uid="{00000000-0010-0000-0200-000001000000}" name="O*NET-SOC Code"/>
    <tableColumn id="2" xr3:uid="{00000000-0010-0000-0200-000002000000}" name="Job Title"/>
    <tableColumn id="3" xr3:uid="{00000000-0010-0000-0200-000003000000}" name="Job Zone"/>
    <tableColumn id="4" xr3:uid="{00000000-0010-0000-0200-000004000000}" name="Date"/>
    <tableColumn id="5" xr3:uid="{00000000-0010-0000-0200-000005000000}" name="Domain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ScopeTable" displayName="ScopeTable" ref="A1:E16" totalsRowShown="0">
  <autoFilter ref="A1:E16" xr:uid="{00000000-000C-0000-FFFF-FFFF03000000}"/>
  <tableColumns count="5">
    <tableColumn id="1" xr3:uid="{00000000-0010-0000-0300-000001000000}" name="O*NET-SOC Code"/>
    <tableColumn id="2" xr3:uid="{00000000-0010-0000-0300-000002000000}" name="Title"/>
    <tableColumn id="3" xr3:uid="{00000000-0010-0000-0300-000003000000}" name="Scope Group"/>
    <tableColumn id="4" xr3:uid="{00000000-0010-0000-0300-000004000000}" name="Selection Rationale"/>
    <tableColumn id="5" xr3:uid="{00000000-0010-0000-0300-000005000000}" name="Essential Skills Data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selection activeCell="B6" sqref="B6"/>
    </sheetView>
  </sheetViews>
  <sheetFormatPr defaultRowHeight="14.25"/>
  <cols>
    <col min="1" max="1" width="25" customWidth="1"/>
    <col min="2" max="2" width="112" customWidth="1"/>
  </cols>
  <sheetData>
    <row r="1" spans="1:2" ht="33.950000000000003" customHeight="1">
      <c r="A1" s="5" t="s">
        <v>0</v>
      </c>
      <c r="B1" s="5"/>
    </row>
    <row r="2" spans="1:2" ht="48" customHeight="1">
      <c r="A2" s="6" t="s">
        <v>1</v>
      </c>
      <c r="B2" s="7" t="s">
        <v>2</v>
      </c>
    </row>
    <row r="3" spans="1:2" ht="48" customHeight="1">
      <c r="A3" s="6" t="s">
        <v>3</v>
      </c>
      <c r="B3" s="7" t="s">
        <v>4</v>
      </c>
    </row>
    <row r="4" spans="1:2" ht="48" customHeight="1">
      <c r="A4" s="6" t="s">
        <v>5</v>
      </c>
      <c r="B4" s="7" t="s">
        <v>6</v>
      </c>
    </row>
    <row r="5" spans="1:2" ht="48" customHeight="1">
      <c r="A5" s="6" t="s">
        <v>7</v>
      </c>
      <c r="B5" s="7" t="s">
        <v>8</v>
      </c>
    </row>
    <row r="6" spans="1:2" ht="62.1" customHeight="1">
      <c r="A6" s="6" t="s">
        <v>9</v>
      </c>
      <c r="B6" s="7" t="s">
        <v>10</v>
      </c>
    </row>
    <row r="7" spans="1:2" ht="48" customHeight="1">
      <c r="A7" s="6" t="s">
        <v>11</v>
      </c>
      <c r="B7" s="7" t="s">
        <v>12</v>
      </c>
    </row>
    <row r="8" spans="1:2" ht="57.95" customHeight="1">
      <c r="A8" s="6" t="s">
        <v>13</v>
      </c>
      <c r="B8" s="7" t="s">
        <v>14</v>
      </c>
    </row>
    <row r="9" spans="1:2" ht="57.95" customHeight="1">
      <c r="A9" s="6" t="s">
        <v>15</v>
      </c>
      <c r="B9" s="7" t="s">
        <v>16</v>
      </c>
    </row>
    <row r="10" spans="1:2" ht="57.95" customHeight="1">
      <c r="A10" s="6" t="s">
        <v>17</v>
      </c>
      <c r="B10" s="7" t="s">
        <v>18</v>
      </c>
    </row>
    <row r="11" spans="1:2" ht="57.95" customHeight="1">
      <c r="A11" s="6" t="s">
        <v>19</v>
      </c>
      <c r="B11" s="7" t="s">
        <v>20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showGridLines="0" workbookViewId="0">
      <pane ySplit="1" topLeftCell="A2" activePane="bottomLeft" state="frozen"/>
      <selection pane="bottomLeft" sqref="A1:J1"/>
    </sheetView>
  </sheetViews>
  <sheetFormatPr defaultRowHeight="14.25"/>
  <cols>
    <col min="1" max="1" width="63" customWidth="1"/>
    <col min="2" max="11" width="19" customWidth="1"/>
  </cols>
  <sheetData>
    <row r="1" spans="1:11" ht="32.1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15">
      <c r="A2" s="4" t="s">
        <v>32</v>
      </c>
      <c r="B2" s="3">
        <f>IFERROR(AVERAGEIFS(Skills!$E$2:$E$141,Skills!$B$2:$B$141,$A2,Skills!$D$2:$D$141,B$1),"")</f>
        <v>3.12</v>
      </c>
      <c r="C2" s="3">
        <f>IFERROR(AVERAGEIFS(Skills!$E$2:$E$141,Skills!$B$2:$B$141,$A2,Skills!$D$2:$D$141,C$1),"")</f>
        <v>4</v>
      </c>
      <c r="D2" s="3">
        <f>IFERROR(AVERAGEIFS(Skills!$E$2:$E$141,Skills!$B$2:$B$141,$A2,Skills!$D$2:$D$141,D$1),"")</f>
        <v>3.75</v>
      </c>
      <c r="E2" s="3">
        <f>IFERROR(AVERAGEIFS(Skills!$E$2:$E$141,Skills!$B$2:$B$141,$A2,Skills!$D$2:$D$141,E$1),"")</f>
        <v>3</v>
      </c>
      <c r="F2" s="3">
        <f>IFERROR(AVERAGEIFS(Skills!$E$2:$E$141,Skills!$B$2:$B$141,$A2,Skills!$D$2:$D$141,F$1),"")</f>
        <v>2.25</v>
      </c>
      <c r="G2" s="3">
        <f>IFERROR(AVERAGEIFS(Skills!$E$2:$E$141,Skills!$B$2:$B$141,$A2,Skills!$D$2:$D$141,G$1),"")</f>
        <v>3.38</v>
      </c>
      <c r="H2" s="3">
        <f>IFERROR(AVERAGEIFS(Skills!$E$2:$E$141,Skills!$B$2:$B$141,$A2,Skills!$D$2:$D$141,H$1),"")</f>
        <v>4</v>
      </c>
      <c r="I2" s="3">
        <f>IFERROR(AVERAGEIFS(Skills!$E$2:$E$141,Skills!$B$2:$B$141,$A2,Skills!$D$2:$D$141,I$1),"")</f>
        <v>1</v>
      </c>
      <c r="J2" s="3">
        <f>IFERROR(AVERAGEIFS(Skills!$E$2:$E$141,Skills!$B$2:$B$141,$A2,Skills!$D$2:$D$141,J$1),"")</f>
        <v>3.88</v>
      </c>
      <c r="K2" s="3">
        <f>IFERROR(AVERAGEIFS(Skills!$E$2:$E$141,Skills!$B$2:$B$141,$A2,Skills!$D$2:$D$141,K$1),"")</f>
        <v>3.75</v>
      </c>
    </row>
    <row r="3" spans="1:11" ht="15">
      <c r="A3" s="4" t="s">
        <v>33</v>
      </c>
      <c r="B3" s="3">
        <f>IFERROR(AVERAGEIFS(Skills!$E$2:$E$141,Skills!$B$2:$B$141,$A3,Skills!$D$2:$D$141,B$1),"")</f>
        <v>3.75</v>
      </c>
      <c r="C3" s="3">
        <f>IFERROR(AVERAGEIFS(Skills!$E$2:$E$141,Skills!$B$2:$B$141,$A3,Skills!$D$2:$D$141,C$1),"")</f>
        <v>4</v>
      </c>
      <c r="D3" s="3">
        <f>IFERROR(AVERAGEIFS(Skills!$E$2:$E$141,Skills!$B$2:$B$141,$A3,Skills!$D$2:$D$141,D$1),"")</f>
        <v>3.88</v>
      </c>
      <c r="E3" s="3">
        <f>IFERROR(AVERAGEIFS(Skills!$E$2:$E$141,Skills!$B$2:$B$141,$A3,Skills!$D$2:$D$141,E$1),"")</f>
        <v>3</v>
      </c>
      <c r="F3" s="3">
        <f>IFERROR(AVERAGEIFS(Skills!$E$2:$E$141,Skills!$B$2:$B$141,$A3,Skills!$D$2:$D$141,F$1),"")</f>
        <v>3</v>
      </c>
      <c r="G3" s="3">
        <f>IFERROR(AVERAGEIFS(Skills!$E$2:$E$141,Skills!$B$2:$B$141,$A3,Skills!$D$2:$D$141,G$1),"")</f>
        <v>3.38</v>
      </c>
      <c r="H3" s="3">
        <f>IFERROR(AVERAGEIFS(Skills!$E$2:$E$141,Skills!$B$2:$B$141,$A3,Skills!$D$2:$D$141,H$1),"")</f>
        <v>4</v>
      </c>
      <c r="I3" s="3">
        <f>IFERROR(AVERAGEIFS(Skills!$E$2:$E$141,Skills!$B$2:$B$141,$A3,Skills!$D$2:$D$141,I$1),"")</f>
        <v>1</v>
      </c>
      <c r="J3" s="3">
        <f>IFERROR(AVERAGEIFS(Skills!$E$2:$E$141,Skills!$B$2:$B$141,$A3,Skills!$D$2:$D$141,J$1),"")</f>
        <v>4</v>
      </c>
      <c r="K3" s="3">
        <f>IFERROR(AVERAGEIFS(Skills!$E$2:$E$141,Skills!$B$2:$B$141,$A3,Skills!$D$2:$D$141,K$1),"")</f>
        <v>4</v>
      </c>
    </row>
    <row r="4" spans="1:11" ht="15">
      <c r="A4" s="4" t="s">
        <v>34</v>
      </c>
      <c r="B4" s="3">
        <f>IFERROR(AVERAGEIFS(Skills!$E$2:$E$141,Skills!$B$2:$B$141,$A4,Skills!$D$2:$D$141,B$1),"")</f>
        <v>4</v>
      </c>
      <c r="C4" s="3">
        <f>IFERROR(AVERAGEIFS(Skills!$E$2:$E$141,Skills!$B$2:$B$141,$A4,Skills!$D$2:$D$141,C$1),"")</f>
        <v>4.38</v>
      </c>
      <c r="D4" s="3">
        <f>IFERROR(AVERAGEIFS(Skills!$E$2:$E$141,Skills!$B$2:$B$141,$A4,Skills!$D$2:$D$141,D$1),"")</f>
        <v>4</v>
      </c>
      <c r="E4" s="3">
        <f>IFERROR(AVERAGEIFS(Skills!$E$2:$E$141,Skills!$B$2:$B$141,$A4,Skills!$D$2:$D$141,E$1),"")</f>
        <v>3.75</v>
      </c>
      <c r="F4" s="3">
        <f>IFERROR(AVERAGEIFS(Skills!$E$2:$E$141,Skills!$B$2:$B$141,$A4,Skills!$D$2:$D$141,F$1),"")</f>
        <v>3</v>
      </c>
      <c r="G4" s="3">
        <f>IFERROR(AVERAGEIFS(Skills!$E$2:$E$141,Skills!$B$2:$B$141,$A4,Skills!$D$2:$D$141,G$1),"")</f>
        <v>4</v>
      </c>
      <c r="H4" s="3">
        <f>IFERROR(AVERAGEIFS(Skills!$E$2:$E$141,Skills!$B$2:$B$141,$A4,Skills!$D$2:$D$141,H$1),"")</f>
        <v>4.25</v>
      </c>
      <c r="I4" s="3">
        <f>IFERROR(AVERAGEIFS(Skills!$E$2:$E$141,Skills!$B$2:$B$141,$A4,Skills!$D$2:$D$141,I$1),"")</f>
        <v>1.5</v>
      </c>
      <c r="J4" s="3">
        <f>IFERROR(AVERAGEIFS(Skills!$E$2:$E$141,Skills!$B$2:$B$141,$A4,Skills!$D$2:$D$141,J$1),"")</f>
        <v>4.25</v>
      </c>
      <c r="K4" s="3">
        <f>IFERROR(AVERAGEIFS(Skills!$E$2:$E$141,Skills!$B$2:$B$141,$A4,Skills!$D$2:$D$141,K$1),"")</f>
        <v>4.12</v>
      </c>
    </row>
    <row r="5" spans="1:11" ht="15">
      <c r="A5" s="4" t="s">
        <v>35</v>
      </c>
      <c r="B5" s="3">
        <f>IFERROR(AVERAGEIFS(Skills!$E$2:$E$141,Skills!$B$2:$B$141,$A5,Skills!$D$2:$D$141,B$1),"")</f>
        <v>3.75</v>
      </c>
      <c r="C5" s="3">
        <f>IFERROR(AVERAGEIFS(Skills!$E$2:$E$141,Skills!$B$2:$B$141,$A5,Skills!$D$2:$D$141,C$1),"")</f>
        <v>4</v>
      </c>
      <c r="D5" s="3">
        <f>IFERROR(AVERAGEIFS(Skills!$E$2:$E$141,Skills!$B$2:$B$141,$A5,Skills!$D$2:$D$141,D$1),"")</f>
        <v>3.75</v>
      </c>
      <c r="E5" s="3">
        <f>IFERROR(AVERAGEIFS(Skills!$E$2:$E$141,Skills!$B$2:$B$141,$A5,Skills!$D$2:$D$141,E$1),"")</f>
        <v>4.25</v>
      </c>
      <c r="F5" s="3">
        <f>IFERROR(AVERAGEIFS(Skills!$E$2:$E$141,Skills!$B$2:$B$141,$A5,Skills!$D$2:$D$141,F$1),"")</f>
        <v>2.88</v>
      </c>
      <c r="G5" s="3">
        <f>IFERROR(AVERAGEIFS(Skills!$E$2:$E$141,Skills!$B$2:$B$141,$A5,Skills!$D$2:$D$141,G$1),"")</f>
        <v>3.88</v>
      </c>
      <c r="H5" s="3">
        <f>IFERROR(AVERAGEIFS(Skills!$E$2:$E$141,Skills!$B$2:$B$141,$A5,Skills!$D$2:$D$141,H$1),"")</f>
        <v>4</v>
      </c>
      <c r="I5" s="3">
        <f>IFERROR(AVERAGEIFS(Skills!$E$2:$E$141,Skills!$B$2:$B$141,$A5,Skills!$D$2:$D$141,I$1),"")</f>
        <v>1.5</v>
      </c>
      <c r="J5" s="3">
        <f>IFERROR(AVERAGEIFS(Skills!$E$2:$E$141,Skills!$B$2:$B$141,$A5,Skills!$D$2:$D$141,J$1),"")</f>
        <v>4</v>
      </c>
      <c r="K5" s="3">
        <f>IFERROR(AVERAGEIFS(Skills!$E$2:$E$141,Skills!$B$2:$B$141,$A5,Skills!$D$2:$D$141,K$1),"")</f>
        <v>3.88</v>
      </c>
    </row>
    <row r="6" spans="1:11" ht="15">
      <c r="A6" s="4" t="s">
        <v>36</v>
      </c>
      <c r="B6" s="3">
        <f>IFERROR(AVERAGEIFS(Skills!$E$2:$E$141,Skills!$B$2:$B$141,$A6,Skills!$D$2:$D$141,B$1),"")</f>
        <v>3.25</v>
      </c>
      <c r="C6" s="3">
        <f>IFERROR(AVERAGEIFS(Skills!$E$2:$E$141,Skills!$B$2:$B$141,$A6,Skills!$D$2:$D$141,C$1),"")</f>
        <v>4</v>
      </c>
      <c r="D6" s="3">
        <f>IFERROR(AVERAGEIFS(Skills!$E$2:$E$141,Skills!$B$2:$B$141,$A6,Skills!$D$2:$D$141,D$1),"")</f>
        <v>3.88</v>
      </c>
      <c r="E6" s="3">
        <f>IFERROR(AVERAGEIFS(Skills!$E$2:$E$141,Skills!$B$2:$B$141,$A6,Skills!$D$2:$D$141,E$1),"")</f>
        <v>3</v>
      </c>
      <c r="F6" s="3">
        <f>IFERROR(AVERAGEIFS(Skills!$E$2:$E$141,Skills!$B$2:$B$141,$A6,Skills!$D$2:$D$141,F$1),"")</f>
        <v>2</v>
      </c>
      <c r="G6" s="3">
        <f>IFERROR(AVERAGEIFS(Skills!$E$2:$E$141,Skills!$B$2:$B$141,$A6,Skills!$D$2:$D$141,G$1),"")</f>
        <v>3</v>
      </c>
      <c r="H6" s="3">
        <f>IFERROR(AVERAGEIFS(Skills!$E$2:$E$141,Skills!$B$2:$B$141,$A6,Skills!$D$2:$D$141,H$1),"")</f>
        <v>4</v>
      </c>
      <c r="I6" s="3">
        <f>IFERROR(AVERAGEIFS(Skills!$E$2:$E$141,Skills!$B$2:$B$141,$A6,Skills!$D$2:$D$141,I$1),"")</f>
        <v>1.1200000000000001</v>
      </c>
      <c r="J6" s="3">
        <f>IFERROR(AVERAGEIFS(Skills!$E$2:$E$141,Skills!$B$2:$B$141,$A6,Skills!$D$2:$D$141,J$1),"")</f>
        <v>4.12</v>
      </c>
      <c r="K6" s="3">
        <f>IFERROR(AVERAGEIFS(Skills!$E$2:$E$141,Skills!$B$2:$B$141,$A6,Skills!$D$2:$D$141,K$1),"")</f>
        <v>3.88</v>
      </c>
    </row>
    <row r="7" spans="1:11" ht="15">
      <c r="A7" s="4" t="s">
        <v>37</v>
      </c>
      <c r="B7" s="3">
        <f>IFERROR(AVERAGEIFS(Skills!$E$2:$E$141,Skills!$B$2:$B$141,$A7,Skills!$D$2:$D$141,B$1),"")</f>
        <v>3.5</v>
      </c>
      <c r="C7" s="3">
        <f>IFERROR(AVERAGEIFS(Skills!$E$2:$E$141,Skills!$B$2:$B$141,$A7,Skills!$D$2:$D$141,C$1),"")</f>
        <v>4.38</v>
      </c>
      <c r="D7" s="3">
        <f>IFERROR(AVERAGEIFS(Skills!$E$2:$E$141,Skills!$B$2:$B$141,$A7,Skills!$D$2:$D$141,D$1),"")</f>
        <v>4</v>
      </c>
      <c r="E7" s="3">
        <f>IFERROR(AVERAGEIFS(Skills!$E$2:$E$141,Skills!$B$2:$B$141,$A7,Skills!$D$2:$D$141,E$1),"")</f>
        <v>3</v>
      </c>
      <c r="F7" s="3">
        <f>IFERROR(AVERAGEIFS(Skills!$E$2:$E$141,Skills!$B$2:$B$141,$A7,Skills!$D$2:$D$141,F$1),"")</f>
        <v>2.38</v>
      </c>
      <c r="G7" s="3">
        <f>IFERROR(AVERAGEIFS(Skills!$E$2:$E$141,Skills!$B$2:$B$141,$A7,Skills!$D$2:$D$141,G$1),"")</f>
        <v>3.38</v>
      </c>
      <c r="H7" s="3">
        <f>IFERROR(AVERAGEIFS(Skills!$E$2:$E$141,Skills!$B$2:$B$141,$A7,Skills!$D$2:$D$141,H$1),"")</f>
        <v>4</v>
      </c>
      <c r="I7" s="3">
        <f>IFERROR(AVERAGEIFS(Skills!$E$2:$E$141,Skills!$B$2:$B$141,$A7,Skills!$D$2:$D$141,I$1),"")</f>
        <v>1</v>
      </c>
      <c r="J7" s="3">
        <f>IFERROR(AVERAGEIFS(Skills!$E$2:$E$141,Skills!$B$2:$B$141,$A7,Skills!$D$2:$D$141,J$1),"")</f>
        <v>4.25</v>
      </c>
      <c r="K7" s="3">
        <f>IFERROR(AVERAGEIFS(Skills!$E$2:$E$141,Skills!$B$2:$B$141,$A7,Skills!$D$2:$D$141,K$1),"")</f>
        <v>4</v>
      </c>
    </row>
    <row r="8" spans="1:11" ht="15">
      <c r="A8" s="4" t="s">
        <v>38</v>
      </c>
      <c r="B8" s="3">
        <f>IFERROR(AVERAGEIFS(Skills!$E$2:$E$141,Skills!$B$2:$B$141,$A8,Skills!$D$2:$D$141,B$1),"")</f>
        <v>3.38</v>
      </c>
      <c r="C8" s="3">
        <f>IFERROR(AVERAGEIFS(Skills!$E$2:$E$141,Skills!$B$2:$B$141,$A8,Skills!$D$2:$D$141,C$1),"")</f>
        <v>3.88</v>
      </c>
      <c r="D8" s="3">
        <f>IFERROR(AVERAGEIFS(Skills!$E$2:$E$141,Skills!$B$2:$B$141,$A8,Skills!$D$2:$D$141,D$1),"")</f>
        <v>3.75</v>
      </c>
      <c r="E8" s="3">
        <f>IFERROR(AVERAGEIFS(Skills!$E$2:$E$141,Skills!$B$2:$B$141,$A8,Skills!$D$2:$D$141,E$1),"")</f>
        <v>2.88</v>
      </c>
      <c r="F8" s="3">
        <f>IFERROR(AVERAGEIFS(Skills!$E$2:$E$141,Skills!$B$2:$B$141,$A8,Skills!$D$2:$D$141,F$1),"")</f>
        <v>3.12</v>
      </c>
      <c r="G8" s="3">
        <f>IFERROR(AVERAGEIFS(Skills!$E$2:$E$141,Skills!$B$2:$B$141,$A8,Skills!$D$2:$D$141,G$1),"")</f>
        <v>3.12</v>
      </c>
      <c r="H8" s="3">
        <f>IFERROR(AVERAGEIFS(Skills!$E$2:$E$141,Skills!$B$2:$B$141,$A8,Skills!$D$2:$D$141,H$1),"")</f>
        <v>3.88</v>
      </c>
      <c r="I8" s="3">
        <f>IFERROR(AVERAGEIFS(Skills!$E$2:$E$141,Skills!$B$2:$B$141,$A8,Skills!$D$2:$D$141,I$1),"")</f>
        <v>1.88</v>
      </c>
      <c r="J8" s="3">
        <f>IFERROR(AVERAGEIFS(Skills!$E$2:$E$141,Skills!$B$2:$B$141,$A8,Skills!$D$2:$D$141,J$1),"")</f>
        <v>3.88</v>
      </c>
      <c r="K8" s="3">
        <f>IFERROR(AVERAGEIFS(Skills!$E$2:$E$141,Skills!$B$2:$B$141,$A8,Skills!$D$2:$D$141,K$1),"")</f>
        <v>3.38</v>
      </c>
    </row>
    <row r="9" spans="1:11" ht="15">
      <c r="A9" s="4" t="s">
        <v>39</v>
      </c>
      <c r="B9" s="3">
        <f>IFERROR(AVERAGEIFS(Skills!$E$2:$E$141,Skills!$B$2:$B$141,$A9,Skills!$D$2:$D$141,B$1),"")</f>
        <v>3.88</v>
      </c>
      <c r="C9" s="3">
        <f>IFERROR(AVERAGEIFS(Skills!$E$2:$E$141,Skills!$B$2:$B$141,$A9,Skills!$D$2:$D$141,C$1),"")</f>
        <v>4</v>
      </c>
      <c r="D9" s="3">
        <f>IFERROR(AVERAGEIFS(Skills!$E$2:$E$141,Skills!$B$2:$B$141,$A9,Skills!$D$2:$D$141,D$1),"")</f>
        <v>3.88</v>
      </c>
      <c r="E9" s="3">
        <f>IFERROR(AVERAGEIFS(Skills!$E$2:$E$141,Skills!$B$2:$B$141,$A9,Skills!$D$2:$D$141,E$1),"")</f>
        <v>4.12</v>
      </c>
      <c r="F9" s="3">
        <f>IFERROR(AVERAGEIFS(Skills!$E$2:$E$141,Skills!$B$2:$B$141,$A9,Skills!$D$2:$D$141,F$1),"")</f>
        <v>2.38</v>
      </c>
      <c r="G9" s="3">
        <f>IFERROR(AVERAGEIFS(Skills!$E$2:$E$141,Skills!$B$2:$B$141,$A9,Skills!$D$2:$D$141,G$1),"")</f>
        <v>3.88</v>
      </c>
      <c r="H9" s="3">
        <f>IFERROR(AVERAGEIFS(Skills!$E$2:$E$141,Skills!$B$2:$B$141,$A9,Skills!$D$2:$D$141,H$1),"")</f>
        <v>3.88</v>
      </c>
      <c r="I9" s="3">
        <f>IFERROR(AVERAGEIFS(Skills!$E$2:$E$141,Skills!$B$2:$B$141,$A9,Skills!$D$2:$D$141,I$1),"")</f>
        <v>1.62</v>
      </c>
      <c r="J9" s="3">
        <f>IFERROR(AVERAGEIFS(Skills!$E$2:$E$141,Skills!$B$2:$B$141,$A9,Skills!$D$2:$D$141,J$1),"")</f>
        <v>4.38</v>
      </c>
      <c r="K9" s="3">
        <f>IFERROR(AVERAGEIFS(Skills!$E$2:$E$141,Skills!$B$2:$B$141,$A9,Skills!$D$2:$D$141,K$1),"")</f>
        <v>3.88</v>
      </c>
    </row>
    <row r="10" spans="1:11" ht="15">
      <c r="A10" s="4" t="s">
        <v>40</v>
      </c>
      <c r="B10" s="3" t="str">
        <f>IFERROR(AVERAGEIFS(Skills!$E$2:$E$141,Skills!$B$2:$B$141,$A10,Skills!$D$2:$D$141,B$1),"")</f>
        <v/>
      </c>
      <c r="C10" s="3" t="str">
        <f>IFERROR(AVERAGEIFS(Skills!$E$2:$E$141,Skills!$B$2:$B$141,$A10,Skills!$D$2:$D$141,C$1),"")</f>
        <v/>
      </c>
      <c r="D10" s="3" t="str">
        <f>IFERROR(AVERAGEIFS(Skills!$E$2:$E$141,Skills!$B$2:$B$141,$A10,Skills!$D$2:$D$141,D$1),"")</f>
        <v/>
      </c>
      <c r="E10" s="3" t="str">
        <f>IFERROR(AVERAGEIFS(Skills!$E$2:$E$141,Skills!$B$2:$B$141,$A10,Skills!$D$2:$D$141,E$1),"")</f>
        <v/>
      </c>
      <c r="F10" s="3" t="str">
        <f>IFERROR(AVERAGEIFS(Skills!$E$2:$E$141,Skills!$B$2:$B$141,$A10,Skills!$D$2:$D$141,F$1),"")</f>
        <v/>
      </c>
      <c r="G10" s="3" t="str">
        <f>IFERROR(AVERAGEIFS(Skills!$E$2:$E$141,Skills!$B$2:$B$141,$A10,Skills!$D$2:$D$141,G$1),"")</f>
        <v/>
      </c>
      <c r="H10" s="3" t="str">
        <f>IFERROR(AVERAGEIFS(Skills!$E$2:$E$141,Skills!$B$2:$B$141,$A10,Skills!$D$2:$D$141,H$1),"")</f>
        <v/>
      </c>
      <c r="I10" s="3" t="str">
        <f>IFERROR(AVERAGEIFS(Skills!$E$2:$E$141,Skills!$B$2:$B$141,$A10,Skills!$D$2:$D$141,I$1),"")</f>
        <v/>
      </c>
      <c r="J10" s="3" t="str">
        <f>IFERROR(AVERAGEIFS(Skills!$E$2:$E$141,Skills!$B$2:$B$141,$A10,Skills!$D$2:$D$141,J$1),"")</f>
        <v/>
      </c>
      <c r="K10" s="3" t="str">
        <f>IFERROR(AVERAGEIFS(Skills!$E$2:$E$141,Skills!$B$2:$B$141,$A10,Skills!$D$2:$D$141,K$1),"")</f>
        <v/>
      </c>
    </row>
    <row r="11" spans="1:11" ht="15">
      <c r="A11" s="4" t="s">
        <v>41</v>
      </c>
      <c r="B11" s="3">
        <f>IFERROR(AVERAGEIFS(Skills!$E$2:$E$141,Skills!$B$2:$B$141,$A11,Skills!$D$2:$D$141,B$1),"")</f>
        <v>3.88</v>
      </c>
      <c r="C11" s="3">
        <f>IFERROR(AVERAGEIFS(Skills!$E$2:$E$141,Skills!$B$2:$B$141,$A11,Skills!$D$2:$D$141,C$1),"")</f>
        <v>4.38</v>
      </c>
      <c r="D11" s="3">
        <f>IFERROR(AVERAGEIFS(Skills!$E$2:$E$141,Skills!$B$2:$B$141,$A11,Skills!$D$2:$D$141,D$1),"")</f>
        <v>4.12</v>
      </c>
      <c r="E11" s="3">
        <f>IFERROR(AVERAGEIFS(Skills!$E$2:$E$141,Skills!$B$2:$B$141,$A11,Skills!$D$2:$D$141,E$1),"")</f>
        <v>3.62</v>
      </c>
      <c r="F11" s="3">
        <f>IFERROR(AVERAGEIFS(Skills!$E$2:$E$141,Skills!$B$2:$B$141,$A11,Skills!$D$2:$D$141,F$1),"")</f>
        <v>3.5</v>
      </c>
      <c r="G11" s="3">
        <f>IFERROR(AVERAGEIFS(Skills!$E$2:$E$141,Skills!$B$2:$B$141,$A11,Skills!$D$2:$D$141,G$1),"")</f>
        <v>3.88</v>
      </c>
      <c r="H11" s="3">
        <f>IFERROR(AVERAGEIFS(Skills!$E$2:$E$141,Skills!$B$2:$B$141,$A11,Skills!$D$2:$D$141,H$1),"")</f>
        <v>4.38</v>
      </c>
      <c r="I11" s="3">
        <f>IFERROR(AVERAGEIFS(Skills!$E$2:$E$141,Skills!$B$2:$B$141,$A11,Skills!$D$2:$D$141,I$1),"")</f>
        <v>3.75</v>
      </c>
      <c r="J11" s="3">
        <f>IFERROR(AVERAGEIFS(Skills!$E$2:$E$141,Skills!$B$2:$B$141,$A11,Skills!$D$2:$D$141,J$1),"")</f>
        <v>4.12</v>
      </c>
      <c r="K11" s="3">
        <f>IFERROR(AVERAGEIFS(Skills!$E$2:$E$141,Skills!$B$2:$B$141,$A11,Skills!$D$2:$D$141,K$1),"")</f>
        <v>4.25</v>
      </c>
    </row>
    <row r="12" spans="1:11" ht="15">
      <c r="A12" s="4" t="s">
        <v>42</v>
      </c>
      <c r="B12" s="3">
        <f>IFERROR(AVERAGEIFS(Skills!$E$2:$E$141,Skills!$B$2:$B$141,$A12,Skills!$D$2:$D$141,B$1),"")</f>
        <v>2.75</v>
      </c>
      <c r="C12" s="3">
        <f>IFERROR(AVERAGEIFS(Skills!$E$2:$E$141,Skills!$B$2:$B$141,$A12,Skills!$D$2:$D$141,C$1),"")</f>
        <v>3.75</v>
      </c>
      <c r="D12" s="3">
        <f>IFERROR(AVERAGEIFS(Skills!$E$2:$E$141,Skills!$B$2:$B$141,$A12,Skills!$D$2:$D$141,D$1),"")</f>
        <v>3.12</v>
      </c>
      <c r="E12" s="3">
        <f>IFERROR(AVERAGEIFS(Skills!$E$2:$E$141,Skills!$B$2:$B$141,$A12,Skills!$D$2:$D$141,E$1),"")</f>
        <v>2.25</v>
      </c>
      <c r="F12" s="3">
        <f>IFERROR(AVERAGEIFS(Skills!$E$2:$E$141,Skills!$B$2:$B$141,$A12,Skills!$D$2:$D$141,F$1),"")</f>
        <v>3.25</v>
      </c>
      <c r="G12" s="3">
        <f>IFERROR(AVERAGEIFS(Skills!$E$2:$E$141,Skills!$B$2:$B$141,$A12,Skills!$D$2:$D$141,G$1),"")</f>
        <v>3</v>
      </c>
      <c r="H12" s="3">
        <f>IFERROR(AVERAGEIFS(Skills!$E$2:$E$141,Skills!$B$2:$B$141,$A12,Skills!$D$2:$D$141,H$1),"")</f>
        <v>3.88</v>
      </c>
      <c r="I12" s="3">
        <f>IFERROR(AVERAGEIFS(Skills!$E$2:$E$141,Skills!$B$2:$B$141,$A12,Skills!$D$2:$D$141,I$1),"")</f>
        <v>1</v>
      </c>
      <c r="J12" s="3">
        <f>IFERROR(AVERAGEIFS(Skills!$E$2:$E$141,Skills!$B$2:$B$141,$A12,Skills!$D$2:$D$141,J$1),"")</f>
        <v>3.12</v>
      </c>
      <c r="K12" s="3">
        <f>IFERROR(AVERAGEIFS(Skills!$E$2:$E$141,Skills!$B$2:$B$141,$A12,Skills!$D$2:$D$141,K$1),"")</f>
        <v>3.12</v>
      </c>
    </row>
    <row r="13" spans="1:11" ht="15">
      <c r="A13" s="4" t="s">
        <v>43</v>
      </c>
      <c r="B13" s="3">
        <f>IFERROR(AVERAGEIFS(Skills!$E$2:$E$141,Skills!$B$2:$B$141,$A13,Skills!$D$2:$D$141,B$1),"")</f>
        <v>3</v>
      </c>
      <c r="C13" s="3">
        <f>IFERROR(AVERAGEIFS(Skills!$E$2:$E$141,Skills!$B$2:$B$141,$A13,Skills!$D$2:$D$141,C$1),"")</f>
        <v>4</v>
      </c>
      <c r="D13" s="3">
        <f>IFERROR(AVERAGEIFS(Skills!$E$2:$E$141,Skills!$B$2:$B$141,$A13,Skills!$D$2:$D$141,D$1),"")</f>
        <v>3.38</v>
      </c>
      <c r="E13" s="3">
        <f>IFERROR(AVERAGEIFS(Skills!$E$2:$E$141,Skills!$B$2:$B$141,$A13,Skills!$D$2:$D$141,E$1),"")</f>
        <v>2.5</v>
      </c>
      <c r="F13" s="3">
        <f>IFERROR(AVERAGEIFS(Skills!$E$2:$E$141,Skills!$B$2:$B$141,$A13,Skills!$D$2:$D$141,F$1),"")</f>
        <v>2</v>
      </c>
      <c r="G13" s="3">
        <f>IFERROR(AVERAGEIFS(Skills!$E$2:$E$141,Skills!$B$2:$B$141,$A13,Skills!$D$2:$D$141,G$1),"")</f>
        <v>3.38</v>
      </c>
      <c r="H13" s="3">
        <f>IFERROR(AVERAGEIFS(Skills!$E$2:$E$141,Skills!$B$2:$B$141,$A13,Skills!$D$2:$D$141,H$1),"")</f>
        <v>4</v>
      </c>
      <c r="I13" s="3">
        <f>IFERROR(AVERAGEIFS(Skills!$E$2:$E$141,Skills!$B$2:$B$141,$A13,Skills!$D$2:$D$141,I$1),"")</f>
        <v>1.1200000000000001</v>
      </c>
      <c r="J13" s="3">
        <f>IFERROR(AVERAGEIFS(Skills!$E$2:$E$141,Skills!$B$2:$B$141,$A13,Skills!$D$2:$D$141,J$1),"")</f>
        <v>3.75</v>
      </c>
      <c r="K13" s="3">
        <f>IFERROR(AVERAGEIFS(Skills!$E$2:$E$141,Skills!$B$2:$B$141,$A13,Skills!$D$2:$D$141,K$1),"")</f>
        <v>3.5</v>
      </c>
    </row>
    <row r="14" spans="1:11" ht="15">
      <c r="A14" s="4" t="s">
        <v>44</v>
      </c>
      <c r="B14" s="3">
        <f>IFERROR(AVERAGEIFS(Skills!$E$2:$E$141,Skills!$B$2:$B$141,$A14,Skills!$D$2:$D$141,B$1),"")</f>
        <v>3.25</v>
      </c>
      <c r="C14" s="3">
        <f>IFERROR(AVERAGEIFS(Skills!$E$2:$E$141,Skills!$B$2:$B$141,$A14,Skills!$D$2:$D$141,C$1),"")</f>
        <v>4.12</v>
      </c>
      <c r="D14" s="3">
        <f>IFERROR(AVERAGEIFS(Skills!$E$2:$E$141,Skills!$B$2:$B$141,$A14,Skills!$D$2:$D$141,D$1),"")</f>
        <v>4.12</v>
      </c>
      <c r="E14" s="3">
        <f>IFERROR(AVERAGEIFS(Skills!$E$2:$E$141,Skills!$B$2:$B$141,$A14,Skills!$D$2:$D$141,E$1),"")</f>
        <v>3</v>
      </c>
      <c r="F14" s="3">
        <f>IFERROR(AVERAGEIFS(Skills!$E$2:$E$141,Skills!$B$2:$B$141,$A14,Skills!$D$2:$D$141,F$1),"")</f>
        <v>3</v>
      </c>
      <c r="G14" s="3">
        <f>IFERROR(AVERAGEIFS(Skills!$E$2:$E$141,Skills!$B$2:$B$141,$A14,Skills!$D$2:$D$141,G$1),"")</f>
        <v>3.88</v>
      </c>
      <c r="H14" s="3">
        <f>IFERROR(AVERAGEIFS(Skills!$E$2:$E$141,Skills!$B$2:$B$141,$A14,Skills!$D$2:$D$141,H$1),"")</f>
        <v>4.12</v>
      </c>
      <c r="I14" s="3">
        <f>IFERROR(AVERAGEIFS(Skills!$E$2:$E$141,Skills!$B$2:$B$141,$A14,Skills!$D$2:$D$141,I$1),"")</f>
        <v>1.88</v>
      </c>
      <c r="J14" s="3">
        <f>IFERROR(AVERAGEIFS(Skills!$E$2:$E$141,Skills!$B$2:$B$141,$A14,Skills!$D$2:$D$141,J$1),"")</f>
        <v>4</v>
      </c>
      <c r="K14" s="3">
        <f>IFERROR(AVERAGEIFS(Skills!$E$2:$E$141,Skills!$B$2:$B$141,$A14,Skills!$D$2:$D$141,K$1),"")</f>
        <v>4</v>
      </c>
    </row>
    <row r="15" spans="1:11" ht="15">
      <c r="A15" s="4" t="s">
        <v>45</v>
      </c>
      <c r="B15" s="3">
        <f>IFERROR(AVERAGEIFS(Skills!$E$2:$E$141,Skills!$B$2:$B$141,$A15,Skills!$D$2:$D$141,B$1),"")</f>
        <v>3.5</v>
      </c>
      <c r="C15" s="3">
        <f>IFERROR(AVERAGEIFS(Skills!$E$2:$E$141,Skills!$B$2:$B$141,$A15,Skills!$D$2:$D$141,C$1),"")</f>
        <v>3.75</v>
      </c>
      <c r="D15" s="3">
        <f>IFERROR(AVERAGEIFS(Skills!$E$2:$E$141,Skills!$B$2:$B$141,$A15,Skills!$D$2:$D$141,D$1),"")</f>
        <v>3.75</v>
      </c>
      <c r="E15" s="3">
        <f>IFERROR(AVERAGEIFS(Skills!$E$2:$E$141,Skills!$B$2:$B$141,$A15,Skills!$D$2:$D$141,E$1),"")</f>
        <v>3</v>
      </c>
      <c r="F15" s="3">
        <f>IFERROR(AVERAGEIFS(Skills!$E$2:$E$141,Skills!$B$2:$B$141,$A15,Skills!$D$2:$D$141,F$1),"")</f>
        <v>2.75</v>
      </c>
      <c r="G15" s="3">
        <f>IFERROR(AVERAGEIFS(Skills!$E$2:$E$141,Skills!$B$2:$B$141,$A15,Skills!$D$2:$D$141,G$1),"")</f>
        <v>3.62</v>
      </c>
      <c r="H15" s="3">
        <f>IFERROR(AVERAGEIFS(Skills!$E$2:$E$141,Skills!$B$2:$B$141,$A15,Skills!$D$2:$D$141,H$1),"")</f>
        <v>3.5</v>
      </c>
      <c r="I15" s="3">
        <f>IFERROR(AVERAGEIFS(Skills!$E$2:$E$141,Skills!$B$2:$B$141,$A15,Skills!$D$2:$D$141,I$1),"")</f>
        <v>1.38</v>
      </c>
      <c r="J15" s="3">
        <f>IFERROR(AVERAGEIFS(Skills!$E$2:$E$141,Skills!$B$2:$B$141,$A15,Skills!$D$2:$D$141,J$1),"")</f>
        <v>3.5</v>
      </c>
      <c r="K15" s="3">
        <f>IFERROR(AVERAGEIFS(Skills!$E$2:$E$141,Skills!$B$2:$B$141,$A15,Skills!$D$2:$D$141,K$1),"")</f>
        <v>3.62</v>
      </c>
    </row>
    <row r="16" spans="1:11" ht="15">
      <c r="A16" s="4" t="s">
        <v>46</v>
      </c>
      <c r="B16" s="3">
        <f>IFERROR(AVERAGEIFS(Skills!$E$2:$E$141,Skills!$B$2:$B$141,$A16,Skills!$D$2:$D$141,B$1),"")</f>
        <v>3.75</v>
      </c>
      <c r="C16" s="3">
        <f>IFERROR(AVERAGEIFS(Skills!$E$2:$E$141,Skills!$B$2:$B$141,$A16,Skills!$D$2:$D$141,C$1),"")</f>
        <v>4</v>
      </c>
      <c r="D16" s="3">
        <f>IFERROR(AVERAGEIFS(Skills!$E$2:$E$141,Skills!$B$2:$B$141,$A16,Skills!$D$2:$D$141,D$1),"")</f>
        <v>3.88</v>
      </c>
      <c r="E16" s="3">
        <f>IFERROR(AVERAGEIFS(Skills!$E$2:$E$141,Skills!$B$2:$B$141,$A16,Skills!$D$2:$D$141,E$1),"")</f>
        <v>3.62</v>
      </c>
      <c r="F16" s="3">
        <f>IFERROR(AVERAGEIFS(Skills!$E$2:$E$141,Skills!$B$2:$B$141,$A16,Skills!$D$2:$D$141,F$1),"")</f>
        <v>2.75</v>
      </c>
      <c r="G16" s="3">
        <f>IFERROR(AVERAGEIFS(Skills!$E$2:$E$141,Skills!$B$2:$B$141,$A16,Skills!$D$2:$D$141,G$1),"")</f>
        <v>4</v>
      </c>
      <c r="H16" s="3">
        <f>IFERROR(AVERAGEIFS(Skills!$E$2:$E$141,Skills!$B$2:$B$141,$A16,Skills!$D$2:$D$141,H$1),"")</f>
        <v>4</v>
      </c>
      <c r="I16" s="3">
        <f>IFERROR(AVERAGEIFS(Skills!$E$2:$E$141,Skills!$B$2:$B$141,$A16,Skills!$D$2:$D$141,I$1),"")</f>
        <v>1</v>
      </c>
      <c r="J16" s="3">
        <f>IFERROR(AVERAGEIFS(Skills!$E$2:$E$141,Skills!$B$2:$B$141,$A16,Skills!$D$2:$D$141,J$1),"")</f>
        <v>4</v>
      </c>
      <c r="K16" s="3">
        <f>IFERROR(AVERAGEIFS(Skills!$E$2:$E$141,Skills!$B$2:$B$141,$A16,Skills!$D$2:$D$141,K$1),"")</f>
        <v>3.75</v>
      </c>
    </row>
  </sheetData>
  <conditionalFormatting sqref="B2:K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K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1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7" customWidth="1"/>
    <col min="2" max="2" width="62" customWidth="1"/>
    <col min="3" max="3" width="15" customWidth="1"/>
    <col min="4" max="4" width="31" customWidth="1"/>
    <col min="5" max="5" width="23" customWidth="1"/>
    <col min="6" max="6" width="10" customWidth="1"/>
    <col min="7" max="9" width="16" customWidth="1"/>
    <col min="10" max="10" width="21" customWidth="1"/>
  </cols>
  <sheetData>
    <row r="1" spans="1:10" ht="32.1" customHeight="1">
      <c r="A1" s="1" t="s">
        <v>47</v>
      </c>
      <c r="B1" s="1" t="s">
        <v>21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56</v>
      </c>
      <c r="B2" t="s">
        <v>32</v>
      </c>
      <c r="C2" t="s">
        <v>57</v>
      </c>
      <c r="D2" t="s">
        <v>28</v>
      </c>
      <c r="E2" s="3">
        <v>4</v>
      </c>
      <c r="F2" s="3">
        <v>8</v>
      </c>
      <c r="G2" s="3">
        <v>0</v>
      </c>
      <c r="H2" s="3">
        <v>4</v>
      </c>
      <c r="I2" s="3">
        <v>4</v>
      </c>
      <c r="J2" t="s">
        <v>51</v>
      </c>
    </row>
    <row r="3" spans="1:10">
      <c r="A3" t="s">
        <v>56</v>
      </c>
      <c r="B3" t="s">
        <v>32</v>
      </c>
      <c r="C3" t="s">
        <v>58</v>
      </c>
      <c r="D3" t="s">
        <v>23</v>
      </c>
      <c r="E3" s="3">
        <v>4</v>
      </c>
      <c r="F3" s="3">
        <v>8</v>
      </c>
      <c r="G3" s="3">
        <v>0</v>
      </c>
      <c r="H3" s="3">
        <v>4</v>
      </c>
      <c r="I3" s="3">
        <v>4</v>
      </c>
      <c r="J3" t="s">
        <v>51</v>
      </c>
    </row>
    <row r="4" spans="1:10">
      <c r="A4" t="s">
        <v>56</v>
      </c>
      <c r="B4" t="s">
        <v>32</v>
      </c>
      <c r="C4" t="s">
        <v>59</v>
      </c>
      <c r="D4" t="s">
        <v>31</v>
      </c>
      <c r="E4" s="3">
        <v>3.75</v>
      </c>
      <c r="F4" s="3">
        <v>8</v>
      </c>
      <c r="G4" s="3">
        <v>0.16370000000000001</v>
      </c>
      <c r="H4" s="3">
        <v>3.4291999999999998</v>
      </c>
      <c r="I4" s="3">
        <v>4.0708000000000002</v>
      </c>
      <c r="J4" t="s">
        <v>51</v>
      </c>
    </row>
    <row r="5" spans="1:10">
      <c r="A5" t="s">
        <v>56</v>
      </c>
      <c r="B5" t="s">
        <v>32</v>
      </c>
      <c r="C5" t="s">
        <v>60</v>
      </c>
      <c r="D5" t="s">
        <v>30</v>
      </c>
      <c r="E5" s="3">
        <v>3.88</v>
      </c>
      <c r="F5" s="3">
        <v>8</v>
      </c>
      <c r="G5" s="3">
        <v>0.125</v>
      </c>
      <c r="H5" s="3">
        <v>3.63</v>
      </c>
      <c r="I5" s="3">
        <v>4.12</v>
      </c>
      <c r="J5" t="s">
        <v>51</v>
      </c>
    </row>
    <row r="6" spans="1:10">
      <c r="A6" t="s">
        <v>56</v>
      </c>
      <c r="B6" t="s">
        <v>32</v>
      </c>
      <c r="C6" t="s">
        <v>61</v>
      </c>
      <c r="D6" t="s">
        <v>26</v>
      </c>
      <c r="E6" s="3">
        <v>2.25</v>
      </c>
      <c r="F6" s="3">
        <v>8</v>
      </c>
      <c r="G6" s="3">
        <v>0.16370000000000001</v>
      </c>
      <c r="H6" s="3">
        <v>1.9292</v>
      </c>
      <c r="I6" s="3">
        <v>2.5708000000000002</v>
      </c>
      <c r="J6" t="s">
        <v>51</v>
      </c>
    </row>
    <row r="7" spans="1:10">
      <c r="A7" t="s">
        <v>56</v>
      </c>
      <c r="B7" t="s">
        <v>32</v>
      </c>
      <c r="C7" t="s">
        <v>62</v>
      </c>
      <c r="D7" t="s">
        <v>29</v>
      </c>
      <c r="E7" s="3">
        <v>1</v>
      </c>
      <c r="F7" s="3">
        <v>8</v>
      </c>
      <c r="G7" s="3">
        <v>0</v>
      </c>
      <c r="H7" s="3">
        <v>1</v>
      </c>
      <c r="I7" s="3">
        <v>1</v>
      </c>
      <c r="J7" t="s">
        <v>51</v>
      </c>
    </row>
    <row r="8" spans="1:10">
      <c r="A8" t="s">
        <v>56</v>
      </c>
      <c r="B8" t="s">
        <v>32</v>
      </c>
      <c r="C8" t="s">
        <v>63</v>
      </c>
      <c r="D8" t="s">
        <v>24</v>
      </c>
      <c r="E8" s="3">
        <v>3.75</v>
      </c>
      <c r="F8" s="3">
        <v>8</v>
      </c>
      <c r="G8" s="3">
        <v>0.16370000000000001</v>
      </c>
      <c r="H8" s="3">
        <v>3.4291999999999998</v>
      </c>
      <c r="I8" s="3">
        <v>4.0708000000000002</v>
      </c>
      <c r="J8" t="s">
        <v>51</v>
      </c>
    </row>
    <row r="9" spans="1:10">
      <c r="A9" t="s">
        <v>56</v>
      </c>
      <c r="B9" t="s">
        <v>32</v>
      </c>
      <c r="C9" t="s">
        <v>64</v>
      </c>
      <c r="D9" t="s">
        <v>22</v>
      </c>
      <c r="E9" s="3">
        <v>3.12</v>
      </c>
      <c r="F9" s="3">
        <v>8</v>
      </c>
      <c r="G9" s="3">
        <v>0.2266</v>
      </c>
      <c r="H9" s="3">
        <v>2.6808999999999998</v>
      </c>
      <c r="I9" s="3">
        <v>3.5691000000000002</v>
      </c>
      <c r="J9" t="s">
        <v>51</v>
      </c>
    </row>
    <row r="10" spans="1:10">
      <c r="A10" t="s">
        <v>56</v>
      </c>
      <c r="B10" t="s">
        <v>32</v>
      </c>
      <c r="C10" t="s">
        <v>65</v>
      </c>
      <c r="D10" t="s">
        <v>25</v>
      </c>
      <c r="E10" s="3">
        <v>3</v>
      </c>
      <c r="F10" s="3">
        <v>8</v>
      </c>
      <c r="G10" s="3">
        <v>0</v>
      </c>
      <c r="H10" s="3">
        <v>3</v>
      </c>
      <c r="I10" s="3">
        <v>3</v>
      </c>
      <c r="J10" t="s">
        <v>51</v>
      </c>
    </row>
    <row r="11" spans="1:10">
      <c r="A11" t="s">
        <v>56</v>
      </c>
      <c r="B11" t="s">
        <v>32</v>
      </c>
      <c r="C11" t="s">
        <v>66</v>
      </c>
      <c r="D11" t="s">
        <v>27</v>
      </c>
      <c r="E11" s="3">
        <v>3.38</v>
      </c>
      <c r="F11" s="3">
        <v>8</v>
      </c>
      <c r="G11" s="3">
        <v>0.183</v>
      </c>
      <c r="H11" s="3">
        <v>3.0164</v>
      </c>
      <c r="I11" s="3">
        <v>3.7336</v>
      </c>
      <c r="J11" t="s">
        <v>51</v>
      </c>
    </row>
    <row r="12" spans="1:10">
      <c r="A12" t="s">
        <v>67</v>
      </c>
      <c r="B12" t="s">
        <v>33</v>
      </c>
      <c r="C12" t="s">
        <v>57</v>
      </c>
      <c r="D12" t="s">
        <v>28</v>
      </c>
      <c r="E12" s="3">
        <v>4</v>
      </c>
      <c r="F12" s="3">
        <v>8</v>
      </c>
      <c r="G12" s="3">
        <v>0</v>
      </c>
      <c r="H12" s="3">
        <v>4</v>
      </c>
      <c r="I12" s="3">
        <v>4</v>
      </c>
      <c r="J12" t="s">
        <v>51</v>
      </c>
    </row>
    <row r="13" spans="1:10">
      <c r="A13" t="s">
        <v>67</v>
      </c>
      <c r="B13" t="s">
        <v>33</v>
      </c>
      <c r="C13" t="s">
        <v>58</v>
      </c>
      <c r="D13" t="s">
        <v>23</v>
      </c>
      <c r="E13" s="3">
        <v>4</v>
      </c>
      <c r="F13" s="3">
        <v>8</v>
      </c>
      <c r="G13" s="3">
        <v>0</v>
      </c>
      <c r="H13" s="3">
        <v>4</v>
      </c>
      <c r="I13" s="3">
        <v>4</v>
      </c>
      <c r="J13" t="s">
        <v>51</v>
      </c>
    </row>
    <row r="14" spans="1:10">
      <c r="A14" t="s">
        <v>67</v>
      </c>
      <c r="B14" t="s">
        <v>33</v>
      </c>
      <c r="C14" t="s">
        <v>59</v>
      </c>
      <c r="D14" t="s">
        <v>31</v>
      </c>
      <c r="E14" s="3">
        <v>4</v>
      </c>
      <c r="F14" s="3">
        <v>8</v>
      </c>
      <c r="G14" s="3">
        <v>0</v>
      </c>
      <c r="H14" s="3">
        <v>4</v>
      </c>
      <c r="I14" s="3">
        <v>4</v>
      </c>
      <c r="J14" t="s">
        <v>51</v>
      </c>
    </row>
    <row r="15" spans="1:10">
      <c r="A15" t="s">
        <v>67</v>
      </c>
      <c r="B15" t="s">
        <v>33</v>
      </c>
      <c r="C15" t="s">
        <v>60</v>
      </c>
      <c r="D15" t="s">
        <v>30</v>
      </c>
      <c r="E15" s="3">
        <v>4</v>
      </c>
      <c r="F15" s="3">
        <v>8</v>
      </c>
      <c r="G15" s="3">
        <v>0</v>
      </c>
      <c r="H15" s="3">
        <v>4</v>
      </c>
      <c r="I15" s="3">
        <v>4</v>
      </c>
      <c r="J15" t="s">
        <v>51</v>
      </c>
    </row>
    <row r="16" spans="1:10">
      <c r="A16" t="s">
        <v>67</v>
      </c>
      <c r="B16" t="s">
        <v>33</v>
      </c>
      <c r="C16" t="s">
        <v>61</v>
      </c>
      <c r="D16" t="s">
        <v>26</v>
      </c>
      <c r="E16" s="3">
        <v>3</v>
      </c>
      <c r="F16" s="3">
        <v>8</v>
      </c>
      <c r="G16" s="3">
        <v>0.189</v>
      </c>
      <c r="H16" s="3">
        <v>2.6295999999999999</v>
      </c>
      <c r="I16" s="3">
        <v>3.3704000000000001</v>
      </c>
      <c r="J16" t="s">
        <v>51</v>
      </c>
    </row>
    <row r="17" spans="1:10">
      <c r="A17" t="s">
        <v>67</v>
      </c>
      <c r="B17" t="s">
        <v>33</v>
      </c>
      <c r="C17" t="s">
        <v>62</v>
      </c>
      <c r="D17" t="s">
        <v>29</v>
      </c>
      <c r="E17" s="3">
        <v>1</v>
      </c>
      <c r="F17" s="3">
        <v>8</v>
      </c>
      <c r="G17" s="3">
        <v>0</v>
      </c>
      <c r="H17" s="3">
        <v>1</v>
      </c>
      <c r="I17" s="3">
        <v>1</v>
      </c>
      <c r="J17" t="s">
        <v>51</v>
      </c>
    </row>
    <row r="18" spans="1:10">
      <c r="A18" t="s">
        <v>67</v>
      </c>
      <c r="B18" t="s">
        <v>33</v>
      </c>
      <c r="C18" t="s">
        <v>63</v>
      </c>
      <c r="D18" t="s">
        <v>24</v>
      </c>
      <c r="E18" s="3">
        <v>3.88</v>
      </c>
      <c r="F18" s="3">
        <v>8</v>
      </c>
      <c r="G18" s="3">
        <v>0.125</v>
      </c>
      <c r="H18" s="3">
        <v>3.63</v>
      </c>
      <c r="I18" s="3">
        <v>4.12</v>
      </c>
      <c r="J18" t="s">
        <v>51</v>
      </c>
    </row>
    <row r="19" spans="1:10">
      <c r="A19" t="s">
        <v>67</v>
      </c>
      <c r="B19" t="s">
        <v>33</v>
      </c>
      <c r="C19" t="s">
        <v>64</v>
      </c>
      <c r="D19" t="s">
        <v>22</v>
      </c>
      <c r="E19" s="3">
        <v>3.75</v>
      </c>
      <c r="F19" s="3">
        <v>8</v>
      </c>
      <c r="G19" s="3">
        <v>0.16370000000000001</v>
      </c>
      <c r="H19" s="3">
        <v>3.4291999999999998</v>
      </c>
      <c r="I19" s="3">
        <v>4.0708000000000002</v>
      </c>
      <c r="J19" t="s">
        <v>51</v>
      </c>
    </row>
    <row r="20" spans="1:10">
      <c r="A20" t="s">
        <v>67</v>
      </c>
      <c r="B20" t="s">
        <v>33</v>
      </c>
      <c r="C20" t="s">
        <v>65</v>
      </c>
      <c r="D20" t="s">
        <v>25</v>
      </c>
      <c r="E20" s="3">
        <v>3</v>
      </c>
      <c r="F20" s="3">
        <v>8</v>
      </c>
      <c r="G20" s="3">
        <v>0</v>
      </c>
      <c r="H20" s="3">
        <v>3</v>
      </c>
      <c r="I20" s="3">
        <v>3</v>
      </c>
      <c r="J20" t="s">
        <v>51</v>
      </c>
    </row>
    <row r="21" spans="1:10">
      <c r="A21" t="s">
        <v>67</v>
      </c>
      <c r="B21" t="s">
        <v>33</v>
      </c>
      <c r="C21" t="s">
        <v>66</v>
      </c>
      <c r="D21" t="s">
        <v>27</v>
      </c>
      <c r="E21" s="3">
        <v>3.38</v>
      </c>
      <c r="F21" s="3">
        <v>8</v>
      </c>
      <c r="G21" s="3">
        <v>0.183</v>
      </c>
      <c r="H21" s="3">
        <v>3.0164</v>
      </c>
      <c r="I21" s="3">
        <v>3.7336</v>
      </c>
      <c r="J21" t="s">
        <v>51</v>
      </c>
    </row>
    <row r="22" spans="1:10">
      <c r="A22" t="s">
        <v>68</v>
      </c>
      <c r="B22" t="s">
        <v>34</v>
      </c>
      <c r="C22" t="s">
        <v>57</v>
      </c>
      <c r="D22" t="s">
        <v>28</v>
      </c>
      <c r="E22" s="3">
        <v>4.25</v>
      </c>
      <c r="F22" s="3">
        <v>8</v>
      </c>
      <c r="G22" s="3">
        <v>0.16370000000000001</v>
      </c>
      <c r="H22" s="3">
        <v>3.9291999999999998</v>
      </c>
      <c r="I22" s="3">
        <v>4.5708000000000002</v>
      </c>
      <c r="J22" t="s">
        <v>51</v>
      </c>
    </row>
    <row r="23" spans="1:10">
      <c r="A23" t="s">
        <v>68</v>
      </c>
      <c r="B23" t="s">
        <v>34</v>
      </c>
      <c r="C23" t="s">
        <v>58</v>
      </c>
      <c r="D23" t="s">
        <v>23</v>
      </c>
      <c r="E23" s="3">
        <v>4.38</v>
      </c>
      <c r="F23" s="3">
        <v>8</v>
      </c>
      <c r="G23" s="3">
        <v>0.183</v>
      </c>
      <c r="H23" s="3">
        <v>4.0164</v>
      </c>
      <c r="I23" s="3">
        <v>4.7336</v>
      </c>
      <c r="J23" t="s">
        <v>51</v>
      </c>
    </row>
    <row r="24" spans="1:10">
      <c r="A24" t="s">
        <v>68</v>
      </c>
      <c r="B24" t="s">
        <v>34</v>
      </c>
      <c r="C24" t="s">
        <v>59</v>
      </c>
      <c r="D24" t="s">
        <v>31</v>
      </c>
      <c r="E24" s="3">
        <v>4.12</v>
      </c>
      <c r="F24" s="3">
        <v>8</v>
      </c>
      <c r="G24" s="3">
        <v>0.125</v>
      </c>
      <c r="H24" s="3">
        <v>3.88</v>
      </c>
      <c r="I24" s="3">
        <v>4.37</v>
      </c>
      <c r="J24" t="s">
        <v>51</v>
      </c>
    </row>
    <row r="25" spans="1:10">
      <c r="A25" t="s">
        <v>68</v>
      </c>
      <c r="B25" t="s">
        <v>34</v>
      </c>
      <c r="C25" t="s">
        <v>60</v>
      </c>
      <c r="D25" t="s">
        <v>30</v>
      </c>
      <c r="E25" s="3">
        <v>4.25</v>
      </c>
      <c r="F25" s="3">
        <v>8</v>
      </c>
      <c r="G25" s="3">
        <v>0.16370000000000001</v>
      </c>
      <c r="H25" s="3">
        <v>3.9291999999999998</v>
      </c>
      <c r="I25" s="3">
        <v>4.5708000000000002</v>
      </c>
      <c r="J25" t="s">
        <v>51</v>
      </c>
    </row>
    <row r="26" spans="1:10">
      <c r="A26" t="s">
        <v>68</v>
      </c>
      <c r="B26" t="s">
        <v>34</v>
      </c>
      <c r="C26" t="s">
        <v>61</v>
      </c>
      <c r="D26" t="s">
        <v>26</v>
      </c>
      <c r="E26" s="3">
        <v>3</v>
      </c>
      <c r="F26" s="3">
        <v>8</v>
      </c>
      <c r="G26" s="3">
        <v>0</v>
      </c>
      <c r="H26" s="3">
        <v>3</v>
      </c>
      <c r="I26" s="3">
        <v>3</v>
      </c>
      <c r="J26" t="s">
        <v>51</v>
      </c>
    </row>
    <row r="27" spans="1:10">
      <c r="A27" t="s">
        <v>68</v>
      </c>
      <c r="B27" t="s">
        <v>34</v>
      </c>
      <c r="C27" t="s">
        <v>62</v>
      </c>
      <c r="D27" t="s">
        <v>29</v>
      </c>
      <c r="E27" s="3">
        <v>1.5</v>
      </c>
      <c r="F27" s="3">
        <v>8</v>
      </c>
      <c r="G27" s="3">
        <v>0.189</v>
      </c>
      <c r="H27" s="3">
        <v>1.1295999999999999</v>
      </c>
      <c r="I27" s="3">
        <v>1.8704000000000001</v>
      </c>
      <c r="J27" t="s">
        <v>51</v>
      </c>
    </row>
    <row r="28" spans="1:10">
      <c r="A28" t="s">
        <v>68</v>
      </c>
      <c r="B28" t="s">
        <v>34</v>
      </c>
      <c r="C28" t="s">
        <v>63</v>
      </c>
      <c r="D28" t="s">
        <v>24</v>
      </c>
      <c r="E28" s="3">
        <v>4</v>
      </c>
      <c r="F28" s="3">
        <v>8</v>
      </c>
      <c r="G28" s="3">
        <v>0</v>
      </c>
      <c r="H28" s="3">
        <v>4</v>
      </c>
      <c r="I28" s="3">
        <v>4</v>
      </c>
      <c r="J28" t="s">
        <v>51</v>
      </c>
    </row>
    <row r="29" spans="1:10">
      <c r="A29" t="s">
        <v>68</v>
      </c>
      <c r="B29" t="s">
        <v>34</v>
      </c>
      <c r="C29" t="s">
        <v>64</v>
      </c>
      <c r="D29" t="s">
        <v>22</v>
      </c>
      <c r="E29" s="3">
        <v>4</v>
      </c>
      <c r="F29" s="3">
        <v>8</v>
      </c>
      <c r="G29" s="3">
        <v>0</v>
      </c>
      <c r="H29" s="3">
        <v>4</v>
      </c>
      <c r="I29" s="3">
        <v>4</v>
      </c>
      <c r="J29" t="s">
        <v>51</v>
      </c>
    </row>
    <row r="30" spans="1:10">
      <c r="A30" t="s">
        <v>68</v>
      </c>
      <c r="B30" t="s">
        <v>34</v>
      </c>
      <c r="C30" t="s">
        <v>65</v>
      </c>
      <c r="D30" t="s">
        <v>25</v>
      </c>
      <c r="E30" s="3">
        <v>3.75</v>
      </c>
      <c r="F30" s="3">
        <v>8</v>
      </c>
      <c r="G30" s="3">
        <v>0.16370000000000001</v>
      </c>
      <c r="H30" s="3">
        <v>3.4291999999999998</v>
      </c>
      <c r="I30" s="3">
        <v>4.0708000000000002</v>
      </c>
      <c r="J30" t="s">
        <v>51</v>
      </c>
    </row>
    <row r="31" spans="1:10">
      <c r="A31" t="s">
        <v>68</v>
      </c>
      <c r="B31" t="s">
        <v>34</v>
      </c>
      <c r="C31" t="s">
        <v>66</v>
      </c>
      <c r="D31" t="s">
        <v>27</v>
      </c>
      <c r="E31" s="3">
        <v>4</v>
      </c>
      <c r="F31" s="3">
        <v>8</v>
      </c>
      <c r="G31" s="3">
        <v>0</v>
      </c>
      <c r="H31" s="3">
        <v>4</v>
      </c>
      <c r="I31" s="3">
        <v>4</v>
      </c>
      <c r="J31" t="s">
        <v>51</v>
      </c>
    </row>
    <row r="32" spans="1:10">
      <c r="A32" t="s">
        <v>69</v>
      </c>
      <c r="B32" t="s">
        <v>35</v>
      </c>
      <c r="C32" t="s">
        <v>57</v>
      </c>
      <c r="D32" t="s">
        <v>28</v>
      </c>
      <c r="E32" s="3">
        <v>4</v>
      </c>
      <c r="F32" s="3">
        <v>8</v>
      </c>
      <c r="G32" s="3">
        <v>0</v>
      </c>
      <c r="H32" s="3">
        <v>4</v>
      </c>
      <c r="I32" s="3">
        <v>4</v>
      </c>
      <c r="J32" t="s">
        <v>51</v>
      </c>
    </row>
    <row r="33" spans="1:10">
      <c r="A33" t="s">
        <v>69</v>
      </c>
      <c r="B33" t="s">
        <v>35</v>
      </c>
      <c r="C33" t="s">
        <v>58</v>
      </c>
      <c r="D33" t="s">
        <v>23</v>
      </c>
      <c r="E33" s="3">
        <v>4</v>
      </c>
      <c r="F33" s="3">
        <v>8</v>
      </c>
      <c r="G33" s="3">
        <v>0</v>
      </c>
      <c r="H33" s="3">
        <v>4</v>
      </c>
      <c r="I33" s="3">
        <v>4</v>
      </c>
      <c r="J33" t="s">
        <v>51</v>
      </c>
    </row>
    <row r="34" spans="1:10">
      <c r="A34" t="s">
        <v>69</v>
      </c>
      <c r="B34" t="s">
        <v>35</v>
      </c>
      <c r="C34" t="s">
        <v>59</v>
      </c>
      <c r="D34" t="s">
        <v>31</v>
      </c>
      <c r="E34" s="3">
        <v>3.88</v>
      </c>
      <c r="F34" s="3">
        <v>8</v>
      </c>
      <c r="G34" s="3">
        <v>0.125</v>
      </c>
      <c r="H34" s="3">
        <v>3.63</v>
      </c>
      <c r="I34" s="3">
        <v>4.12</v>
      </c>
      <c r="J34" t="s">
        <v>51</v>
      </c>
    </row>
    <row r="35" spans="1:10">
      <c r="A35" t="s">
        <v>69</v>
      </c>
      <c r="B35" t="s">
        <v>35</v>
      </c>
      <c r="C35" t="s">
        <v>60</v>
      </c>
      <c r="D35" t="s">
        <v>30</v>
      </c>
      <c r="E35" s="3">
        <v>4</v>
      </c>
      <c r="F35" s="3">
        <v>8</v>
      </c>
      <c r="G35" s="3">
        <v>0</v>
      </c>
      <c r="H35" s="3">
        <v>4</v>
      </c>
      <c r="I35" s="3">
        <v>4</v>
      </c>
      <c r="J35" t="s">
        <v>51</v>
      </c>
    </row>
    <row r="36" spans="1:10">
      <c r="A36" t="s">
        <v>69</v>
      </c>
      <c r="B36" t="s">
        <v>35</v>
      </c>
      <c r="C36" t="s">
        <v>61</v>
      </c>
      <c r="D36" t="s">
        <v>26</v>
      </c>
      <c r="E36" s="3">
        <v>2.88</v>
      </c>
      <c r="F36" s="3">
        <v>8</v>
      </c>
      <c r="G36" s="3">
        <v>0.125</v>
      </c>
      <c r="H36" s="3">
        <v>2.63</v>
      </c>
      <c r="I36" s="3">
        <v>3.12</v>
      </c>
      <c r="J36" t="s">
        <v>51</v>
      </c>
    </row>
    <row r="37" spans="1:10">
      <c r="A37" t="s">
        <v>69</v>
      </c>
      <c r="B37" t="s">
        <v>35</v>
      </c>
      <c r="C37" t="s">
        <v>62</v>
      </c>
      <c r="D37" t="s">
        <v>29</v>
      </c>
      <c r="E37" s="3">
        <v>1.5</v>
      </c>
      <c r="F37" s="3">
        <v>8</v>
      </c>
      <c r="G37" s="3">
        <v>0.26729999999999998</v>
      </c>
      <c r="H37" s="3">
        <v>1</v>
      </c>
      <c r="I37" s="3">
        <v>2.0238</v>
      </c>
      <c r="J37" t="s">
        <v>51</v>
      </c>
    </row>
    <row r="38" spans="1:10">
      <c r="A38" t="s">
        <v>69</v>
      </c>
      <c r="B38" t="s">
        <v>35</v>
      </c>
      <c r="C38" t="s">
        <v>63</v>
      </c>
      <c r="D38" t="s">
        <v>24</v>
      </c>
      <c r="E38" s="3">
        <v>3.75</v>
      </c>
      <c r="F38" s="3">
        <v>8</v>
      </c>
      <c r="G38" s="3">
        <v>0.16370000000000001</v>
      </c>
      <c r="H38" s="3">
        <v>3.4291999999999998</v>
      </c>
      <c r="I38" s="3">
        <v>4.0708000000000002</v>
      </c>
      <c r="J38" t="s">
        <v>51</v>
      </c>
    </row>
    <row r="39" spans="1:10">
      <c r="A39" t="s">
        <v>69</v>
      </c>
      <c r="B39" t="s">
        <v>35</v>
      </c>
      <c r="C39" t="s">
        <v>64</v>
      </c>
      <c r="D39" t="s">
        <v>22</v>
      </c>
      <c r="E39" s="3">
        <v>3.75</v>
      </c>
      <c r="F39" s="3">
        <v>8</v>
      </c>
      <c r="G39" s="3">
        <v>0.16370000000000001</v>
      </c>
      <c r="H39" s="3">
        <v>3.4291999999999998</v>
      </c>
      <c r="I39" s="3">
        <v>4.0708000000000002</v>
      </c>
      <c r="J39" t="s">
        <v>51</v>
      </c>
    </row>
    <row r="40" spans="1:10">
      <c r="A40" t="s">
        <v>69</v>
      </c>
      <c r="B40" t="s">
        <v>35</v>
      </c>
      <c r="C40" t="s">
        <v>65</v>
      </c>
      <c r="D40" t="s">
        <v>25</v>
      </c>
      <c r="E40" s="3">
        <v>4.25</v>
      </c>
      <c r="F40" s="3">
        <v>8</v>
      </c>
      <c r="G40" s="3">
        <v>0.16370000000000001</v>
      </c>
      <c r="H40" s="3">
        <v>3.9291999999999998</v>
      </c>
      <c r="I40" s="3">
        <v>4.5708000000000002</v>
      </c>
      <c r="J40" t="s">
        <v>51</v>
      </c>
    </row>
    <row r="41" spans="1:10">
      <c r="A41" t="s">
        <v>69</v>
      </c>
      <c r="B41" t="s">
        <v>35</v>
      </c>
      <c r="C41" t="s">
        <v>66</v>
      </c>
      <c r="D41" t="s">
        <v>27</v>
      </c>
      <c r="E41" s="3">
        <v>3.88</v>
      </c>
      <c r="F41" s="3">
        <v>8</v>
      </c>
      <c r="G41" s="3">
        <v>0.125</v>
      </c>
      <c r="H41" s="3">
        <v>3.63</v>
      </c>
      <c r="I41" s="3">
        <v>4.12</v>
      </c>
      <c r="J41" t="s">
        <v>51</v>
      </c>
    </row>
    <row r="42" spans="1:10">
      <c r="A42" t="s">
        <v>70</v>
      </c>
      <c r="B42" t="s">
        <v>36</v>
      </c>
      <c r="C42" t="s">
        <v>57</v>
      </c>
      <c r="D42" t="s">
        <v>28</v>
      </c>
      <c r="E42" s="3">
        <v>4</v>
      </c>
      <c r="F42" s="3">
        <v>8</v>
      </c>
      <c r="G42" s="3">
        <v>0</v>
      </c>
      <c r="H42" s="3">
        <v>4</v>
      </c>
      <c r="I42" s="3">
        <v>4</v>
      </c>
      <c r="J42" t="s">
        <v>51</v>
      </c>
    </row>
    <row r="43" spans="1:10">
      <c r="A43" t="s">
        <v>70</v>
      </c>
      <c r="B43" t="s">
        <v>36</v>
      </c>
      <c r="C43" t="s">
        <v>58</v>
      </c>
      <c r="D43" t="s">
        <v>23</v>
      </c>
      <c r="E43" s="3">
        <v>4</v>
      </c>
      <c r="F43" s="3">
        <v>8</v>
      </c>
      <c r="G43" s="3">
        <v>0</v>
      </c>
      <c r="H43" s="3">
        <v>4</v>
      </c>
      <c r="I43" s="3">
        <v>4</v>
      </c>
      <c r="J43" t="s">
        <v>51</v>
      </c>
    </row>
    <row r="44" spans="1:10">
      <c r="A44" t="s">
        <v>70</v>
      </c>
      <c r="B44" t="s">
        <v>36</v>
      </c>
      <c r="C44" t="s">
        <v>59</v>
      </c>
      <c r="D44" t="s">
        <v>31</v>
      </c>
      <c r="E44" s="3">
        <v>3.88</v>
      </c>
      <c r="F44" s="3">
        <v>8</v>
      </c>
      <c r="G44" s="3">
        <v>0.125</v>
      </c>
      <c r="H44" s="3">
        <v>3.63</v>
      </c>
      <c r="I44" s="3">
        <v>4.12</v>
      </c>
      <c r="J44" t="s">
        <v>51</v>
      </c>
    </row>
    <row r="45" spans="1:10">
      <c r="A45" t="s">
        <v>70</v>
      </c>
      <c r="B45" t="s">
        <v>36</v>
      </c>
      <c r="C45" t="s">
        <v>60</v>
      </c>
      <c r="D45" t="s">
        <v>30</v>
      </c>
      <c r="E45" s="3">
        <v>4.12</v>
      </c>
      <c r="F45" s="3">
        <v>8</v>
      </c>
      <c r="G45" s="3">
        <v>0.125</v>
      </c>
      <c r="H45" s="3">
        <v>3.88</v>
      </c>
      <c r="I45" s="3">
        <v>4.37</v>
      </c>
      <c r="J45" t="s">
        <v>51</v>
      </c>
    </row>
    <row r="46" spans="1:10">
      <c r="A46" t="s">
        <v>70</v>
      </c>
      <c r="B46" t="s">
        <v>36</v>
      </c>
      <c r="C46" t="s">
        <v>61</v>
      </c>
      <c r="D46" t="s">
        <v>26</v>
      </c>
      <c r="E46" s="3">
        <v>2</v>
      </c>
      <c r="F46" s="3">
        <v>8</v>
      </c>
      <c r="G46" s="3">
        <v>0</v>
      </c>
      <c r="H46" s="3">
        <v>2</v>
      </c>
      <c r="I46" s="3">
        <v>2</v>
      </c>
      <c r="J46" t="s">
        <v>51</v>
      </c>
    </row>
    <row r="47" spans="1:10">
      <c r="A47" t="s">
        <v>70</v>
      </c>
      <c r="B47" t="s">
        <v>36</v>
      </c>
      <c r="C47" t="s">
        <v>62</v>
      </c>
      <c r="D47" t="s">
        <v>29</v>
      </c>
      <c r="E47" s="3">
        <v>1.1200000000000001</v>
      </c>
      <c r="F47" s="3">
        <v>8</v>
      </c>
      <c r="G47" s="3">
        <v>0.125</v>
      </c>
      <c r="H47" s="3">
        <v>1</v>
      </c>
      <c r="I47" s="3">
        <v>1.37</v>
      </c>
      <c r="J47" t="s">
        <v>51</v>
      </c>
    </row>
    <row r="48" spans="1:10">
      <c r="A48" t="s">
        <v>70</v>
      </c>
      <c r="B48" t="s">
        <v>36</v>
      </c>
      <c r="C48" t="s">
        <v>63</v>
      </c>
      <c r="D48" t="s">
        <v>24</v>
      </c>
      <c r="E48" s="3">
        <v>3.88</v>
      </c>
      <c r="F48" s="3">
        <v>8</v>
      </c>
      <c r="G48" s="3">
        <v>0.125</v>
      </c>
      <c r="H48" s="3">
        <v>3.63</v>
      </c>
      <c r="I48" s="3">
        <v>4.12</v>
      </c>
      <c r="J48" t="s">
        <v>51</v>
      </c>
    </row>
    <row r="49" spans="1:10">
      <c r="A49" t="s">
        <v>70</v>
      </c>
      <c r="B49" t="s">
        <v>36</v>
      </c>
      <c r="C49" t="s">
        <v>64</v>
      </c>
      <c r="D49" t="s">
        <v>22</v>
      </c>
      <c r="E49" s="3">
        <v>3.25</v>
      </c>
      <c r="F49" s="3">
        <v>8</v>
      </c>
      <c r="G49" s="3">
        <v>0.16370000000000001</v>
      </c>
      <c r="H49" s="3">
        <v>2.9291999999999998</v>
      </c>
      <c r="I49" s="3">
        <v>3.5708000000000002</v>
      </c>
      <c r="J49" t="s">
        <v>51</v>
      </c>
    </row>
    <row r="50" spans="1:10">
      <c r="A50" t="s">
        <v>70</v>
      </c>
      <c r="B50" t="s">
        <v>36</v>
      </c>
      <c r="C50" t="s">
        <v>65</v>
      </c>
      <c r="D50" t="s">
        <v>25</v>
      </c>
      <c r="E50" s="3">
        <v>3</v>
      </c>
      <c r="F50" s="3">
        <v>8</v>
      </c>
      <c r="G50" s="3">
        <v>0.189</v>
      </c>
      <c r="H50" s="3">
        <v>2.6295999999999999</v>
      </c>
      <c r="I50" s="3">
        <v>3.3704000000000001</v>
      </c>
      <c r="J50" t="s">
        <v>51</v>
      </c>
    </row>
    <row r="51" spans="1:10">
      <c r="A51" t="s">
        <v>70</v>
      </c>
      <c r="B51" t="s">
        <v>36</v>
      </c>
      <c r="C51" t="s">
        <v>66</v>
      </c>
      <c r="D51" t="s">
        <v>27</v>
      </c>
      <c r="E51" s="3">
        <v>3</v>
      </c>
      <c r="F51" s="3">
        <v>8</v>
      </c>
      <c r="G51" s="3">
        <v>0</v>
      </c>
      <c r="H51" s="3">
        <v>3</v>
      </c>
      <c r="I51" s="3">
        <v>3</v>
      </c>
      <c r="J51" t="s">
        <v>51</v>
      </c>
    </row>
    <row r="52" spans="1:10">
      <c r="A52" t="s">
        <v>71</v>
      </c>
      <c r="B52" t="s">
        <v>37</v>
      </c>
      <c r="C52" t="s">
        <v>57</v>
      </c>
      <c r="D52" t="s">
        <v>28</v>
      </c>
      <c r="E52" s="3">
        <v>4</v>
      </c>
      <c r="F52" s="3">
        <v>8</v>
      </c>
      <c r="G52" s="3">
        <v>0</v>
      </c>
      <c r="H52" s="3">
        <v>4</v>
      </c>
      <c r="I52" s="3">
        <v>4</v>
      </c>
      <c r="J52" t="s">
        <v>51</v>
      </c>
    </row>
    <row r="53" spans="1:10">
      <c r="A53" t="s">
        <v>71</v>
      </c>
      <c r="B53" t="s">
        <v>37</v>
      </c>
      <c r="C53" t="s">
        <v>58</v>
      </c>
      <c r="D53" t="s">
        <v>23</v>
      </c>
      <c r="E53" s="3">
        <v>4.38</v>
      </c>
      <c r="F53" s="3">
        <v>8</v>
      </c>
      <c r="G53" s="3">
        <v>0.183</v>
      </c>
      <c r="H53" s="3">
        <v>4.0164</v>
      </c>
      <c r="I53" s="3">
        <v>4.7336</v>
      </c>
      <c r="J53" t="s">
        <v>51</v>
      </c>
    </row>
    <row r="54" spans="1:10">
      <c r="A54" t="s">
        <v>71</v>
      </c>
      <c r="B54" t="s">
        <v>37</v>
      </c>
      <c r="C54" t="s">
        <v>59</v>
      </c>
      <c r="D54" t="s">
        <v>31</v>
      </c>
      <c r="E54" s="3">
        <v>4</v>
      </c>
      <c r="F54" s="3">
        <v>8</v>
      </c>
      <c r="G54" s="3">
        <v>0</v>
      </c>
      <c r="H54" s="3">
        <v>4</v>
      </c>
      <c r="I54" s="3">
        <v>4</v>
      </c>
      <c r="J54" t="s">
        <v>51</v>
      </c>
    </row>
    <row r="55" spans="1:10">
      <c r="A55" t="s">
        <v>71</v>
      </c>
      <c r="B55" t="s">
        <v>37</v>
      </c>
      <c r="C55" t="s">
        <v>60</v>
      </c>
      <c r="D55" t="s">
        <v>30</v>
      </c>
      <c r="E55" s="3">
        <v>4.25</v>
      </c>
      <c r="F55" s="3">
        <v>8</v>
      </c>
      <c r="G55" s="3">
        <v>0.16370000000000001</v>
      </c>
      <c r="H55" s="3">
        <v>3.9291999999999998</v>
      </c>
      <c r="I55" s="3">
        <v>4.5708000000000002</v>
      </c>
      <c r="J55" t="s">
        <v>51</v>
      </c>
    </row>
    <row r="56" spans="1:10">
      <c r="A56" t="s">
        <v>71</v>
      </c>
      <c r="B56" t="s">
        <v>37</v>
      </c>
      <c r="C56" t="s">
        <v>61</v>
      </c>
      <c r="D56" t="s">
        <v>26</v>
      </c>
      <c r="E56" s="3">
        <v>2.38</v>
      </c>
      <c r="F56" s="3">
        <v>8</v>
      </c>
      <c r="G56" s="3">
        <v>0.183</v>
      </c>
      <c r="H56" s="3">
        <v>2.0164</v>
      </c>
      <c r="I56" s="3">
        <v>2.7336</v>
      </c>
      <c r="J56" t="s">
        <v>51</v>
      </c>
    </row>
    <row r="57" spans="1:10">
      <c r="A57" t="s">
        <v>71</v>
      </c>
      <c r="B57" t="s">
        <v>37</v>
      </c>
      <c r="C57" t="s">
        <v>62</v>
      </c>
      <c r="D57" t="s">
        <v>29</v>
      </c>
      <c r="E57" s="3">
        <v>1</v>
      </c>
      <c r="F57" s="3">
        <v>8</v>
      </c>
      <c r="G57" s="3">
        <v>0</v>
      </c>
      <c r="H57" s="3">
        <v>1</v>
      </c>
      <c r="I57" s="3">
        <v>1</v>
      </c>
      <c r="J57" t="s">
        <v>51</v>
      </c>
    </row>
    <row r="58" spans="1:10">
      <c r="A58" t="s">
        <v>71</v>
      </c>
      <c r="B58" t="s">
        <v>37</v>
      </c>
      <c r="C58" t="s">
        <v>63</v>
      </c>
      <c r="D58" t="s">
        <v>24</v>
      </c>
      <c r="E58" s="3">
        <v>4</v>
      </c>
      <c r="F58" s="3">
        <v>8</v>
      </c>
      <c r="G58" s="3">
        <v>0</v>
      </c>
      <c r="H58" s="3">
        <v>4</v>
      </c>
      <c r="I58" s="3">
        <v>4</v>
      </c>
      <c r="J58" t="s">
        <v>51</v>
      </c>
    </row>
    <row r="59" spans="1:10">
      <c r="A59" t="s">
        <v>71</v>
      </c>
      <c r="B59" t="s">
        <v>37</v>
      </c>
      <c r="C59" t="s">
        <v>64</v>
      </c>
      <c r="D59" t="s">
        <v>22</v>
      </c>
      <c r="E59" s="3">
        <v>3.5</v>
      </c>
      <c r="F59" s="3">
        <v>8</v>
      </c>
      <c r="G59" s="3">
        <v>0.189</v>
      </c>
      <c r="H59" s="3">
        <v>3.1295999999999999</v>
      </c>
      <c r="I59" s="3">
        <v>3.8704000000000001</v>
      </c>
      <c r="J59" t="s">
        <v>51</v>
      </c>
    </row>
    <row r="60" spans="1:10">
      <c r="A60" t="s">
        <v>71</v>
      </c>
      <c r="B60" t="s">
        <v>37</v>
      </c>
      <c r="C60" t="s">
        <v>65</v>
      </c>
      <c r="D60" t="s">
        <v>25</v>
      </c>
      <c r="E60" s="3">
        <v>3</v>
      </c>
      <c r="F60" s="3">
        <v>8</v>
      </c>
      <c r="G60" s="3">
        <v>0</v>
      </c>
      <c r="H60" s="3">
        <v>3</v>
      </c>
      <c r="I60" s="3">
        <v>3</v>
      </c>
      <c r="J60" t="s">
        <v>51</v>
      </c>
    </row>
    <row r="61" spans="1:10">
      <c r="A61" t="s">
        <v>71</v>
      </c>
      <c r="B61" t="s">
        <v>37</v>
      </c>
      <c r="C61" t="s">
        <v>66</v>
      </c>
      <c r="D61" t="s">
        <v>27</v>
      </c>
      <c r="E61" s="3">
        <v>3.38</v>
      </c>
      <c r="F61" s="3">
        <v>8</v>
      </c>
      <c r="G61" s="3">
        <v>0.183</v>
      </c>
      <c r="H61" s="3">
        <v>3.0164</v>
      </c>
      <c r="I61" s="3">
        <v>3.7336</v>
      </c>
      <c r="J61" t="s">
        <v>51</v>
      </c>
    </row>
    <row r="62" spans="1:10">
      <c r="A62" t="s">
        <v>72</v>
      </c>
      <c r="B62" t="s">
        <v>45</v>
      </c>
      <c r="C62" t="s">
        <v>57</v>
      </c>
      <c r="D62" t="s">
        <v>28</v>
      </c>
      <c r="E62" s="3">
        <v>3.5</v>
      </c>
      <c r="F62" s="3">
        <v>8</v>
      </c>
      <c r="G62" s="3">
        <v>0.189</v>
      </c>
      <c r="H62" s="3">
        <v>3.1295999999999999</v>
      </c>
      <c r="I62" s="3">
        <v>3.8704000000000001</v>
      </c>
      <c r="J62" t="s">
        <v>51</v>
      </c>
    </row>
    <row r="63" spans="1:10">
      <c r="A63" t="s">
        <v>72</v>
      </c>
      <c r="B63" t="s">
        <v>45</v>
      </c>
      <c r="C63" t="s">
        <v>58</v>
      </c>
      <c r="D63" t="s">
        <v>23</v>
      </c>
      <c r="E63" s="3">
        <v>3.75</v>
      </c>
      <c r="F63" s="3">
        <v>8</v>
      </c>
      <c r="G63" s="3">
        <v>0.25</v>
      </c>
      <c r="H63" s="3">
        <v>3.26</v>
      </c>
      <c r="I63" s="3">
        <v>4.24</v>
      </c>
      <c r="J63" t="s">
        <v>51</v>
      </c>
    </row>
    <row r="64" spans="1:10">
      <c r="A64" t="s">
        <v>72</v>
      </c>
      <c r="B64" t="s">
        <v>45</v>
      </c>
      <c r="C64" t="s">
        <v>59</v>
      </c>
      <c r="D64" t="s">
        <v>31</v>
      </c>
      <c r="E64" s="3">
        <v>3.62</v>
      </c>
      <c r="F64" s="3">
        <v>8</v>
      </c>
      <c r="G64" s="3">
        <v>0.183</v>
      </c>
      <c r="H64" s="3">
        <v>3.2664</v>
      </c>
      <c r="I64" s="3">
        <v>3.9836</v>
      </c>
      <c r="J64" t="s">
        <v>51</v>
      </c>
    </row>
    <row r="65" spans="1:10">
      <c r="A65" t="s">
        <v>72</v>
      </c>
      <c r="B65" t="s">
        <v>45</v>
      </c>
      <c r="C65" t="s">
        <v>60</v>
      </c>
      <c r="D65" t="s">
        <v>30</v>
      </c>
      <c r="E65" s="3">
        <v>3.5</v>
      </c>
      <c r="F65" s="3">
        <v>8</v>
      </c>
      <c r="G65" s="3">
        <v>0.26729999999999998</v>
      </c>
      <c r="H65" s="3">
        <v>2.9762</v>
      </c>
      <c r="I65" s="3">
        <v>4.0237999999999996</v>
      </c>
      <c r="J65" t="s">
        <v>51</v>
      </c>
    </row>
    <row r="66" spans="1:10">
      <c r="A66" t="s">
        <v>72</v>
      </c>
      <c r="B66" t="s">
        <v>45</v>
      </c>
      <c r="C66" t="s">
        <v>61</v>
      </c>
      <c r="D66" t="s">
        <v>26</v>
      </c>
      <c r="E66" s="3">
        <v>2.75</v>
      </c>
      <c r="F66" s="3">
        <v>8</v>
      </c>
      <c r="G66" s="3">
        <v>0.31340000000000001</v>
      </c>
      <c r="H66" s="3">
        <v>2.1358000000000001</v>
      </c>
      <c r="I66" s="3">
        <v>3.3641999999999999</v>
      </c>
      <c r="J66" t="s">
        <v>51</v>
      </c>
    </row>
    <row r="67" spans="1:10">
      <c r="A67" t="s">
        <v>72</v>
      </c>
      <c r="B67" t="s">
        <v>45</v>
      </c>
      <c r="C67" t="s">
        <v>62</v>
      </c>
      <c r="D67" t="s">
        <v>29</v>
      </c>
      <c r="E67" s="3">
        <v>1.38</v>
      </c>
      <c r="F67" s="3">
        <v>8</v>
      </c>
      <c r="G67" s="3">
        <v>0.183</v>
      </c>
      <c r="H67" s="3">
        <v>1.0164</v>
      </c>
      <c r="I67" s="3">
        <v>1.7336</v>
      </c>
      <c r="J67" t="s">
        <v>51</v>
      </c>
    </row>
    <row r="68" spans="1:10">
      <c r="A68" t="s">
        <v>72</v>
      </c>
      <c r="B68" t="s">
        <v>45</v>
      </c>
      <c r="C68" t="s">
        <v>63</v>
      </c>
      <c r="D68" t="s">
        <v>24</v>
      </c>
      <c r="E68" s="3">
        <v>3.75</v>
      </c>
      <c r="F68" s="3">
        <v>8</v>
      </c>
      <c r="G68" s="3">
        <v>0.25</v>
      </c>
      <c r="H68" s="3">
        <v>3.26</v>
      </c>
      <c r="I68" s="3">
        <v>4.24</v>
      </c>
      <c r="J68" t="s">
        <v>51</v>
      </c>
    </row>
    <row r="69" spans="1:10">
      <c r="A69" t="s">
        <v>72</v>
      </c>
      <c r="B69" t="s">
        <v>45</v>
      </c>
      <c r="C69" t="s">
        <v>64</v>
      </c>
      <c r="D69" t="s">
        <v>22</v>
      </c>
      <c r="E69" s="3">
        <v>3.5</v>
      </c>
      <c r="F69" s="3">
        <v>8</v>
      </c>
      <c r="G69" s="3">
        <v>0.32729999999999998</v>
      </c>
      <c r="H69" s="3">
        <v>2.8584000000000001</v>
      </c>
      <c r="I69" s="3">
        <v>4.1416000000000004</v>
      </c>
      <c r="J69" t="s">
        <v>51</v>
      </c>
    </row>
    <row r="70" spans="1:10">
      <c r="A70" t="s">
        <v>72</v>
      </c>
      <c r="B70" t="s">
        <v>45</v>
      </c>
      <c r="C70" t="s">
        <v>65</v>
      </c>
      <c r="D70" t="s">
        <v>25</v>
      </c>
      <c r="E70" s="3">
        <v>3</v>
      </c>
      <c r="F70" s="3">
        <v>8</v>
      </c>
      <c r="G70" s="3">
        <v>0.26729999999999998</v>
      </c>
      <c r="H70" s="3">
        <v>2.4762</v>
      </c>
      <c r="I70" s="3">
        <v>3.5238</v>
      </c>
      <c r="J70" t="s">
        <v>51</v>
      </c>
    </row>
    <row r="71" spans="1:10">
      <c r="A71" t="s">
        <v>72</v>
      </c>
      <c r="B71" t="s">
        <v>45</v>
      </c>
      <c r="C71" t="s">
        <v>66</v>
      </c>
      <c r="D71" t="s">
        <v>27</v>
      </c>
      <c r="E71" s="3">
        <v>3.62</v>
      </c>
      <c r="F71" s="3">
        <v>8</v>
      </c>
      <c r="G71" s="3">
        <v>0.2631</v>
      </c>
      <c r="H71" s="3">
        <v>3.1093999999999999</v>
      </c>
      <c r="I71" s="3">
        <v>4.1406000000000001</v>
      </c>
      <c r="J71" t="s">
        <v>51</v>
      </c>
    </row>
    <row r="72" spans="1:10">
      <c r="A72" t="s">
        <v>73</v>
      </c>
      <c r="B72" t="s">
        <v>44</v>
      </c>
      <c r="C72" t="s">
        <v>57</v>
      </c>
      <c r="D72" t="s">
        <v>28</v>
      </c>
      <c r="E72" s="3">
        <v>4.12</v>
      </c>
      <c r="F72" s="3">
        <v>8</v>
      </c>
      <c r="G72" s="3">
        <v>0.125</v>
      </c>
      <c r="H72" s="3">
        <v>3.88</v>
      </c>
      <c r="I72" s="3">
        <v>4.37</v>
      </c>
      <c r="J72" t="s">
        <v>51</v>
      </c>
    </row>
    <row r="73" spans="1:10">
      <c r="A73" t="s">
        <v>73</v>
      </c>
      <c r="B73" t="s">
        <v>44</v>
      </c>
      <c r="C73" t="s">
        <v>58</v>
      </c>
      <c r="D73" t="s">
        <v>23</v>
      </c>
      <c r="E73" s="3">
        <v>4.12</v>
      </c>
      <c r="F73" s="3">
        <v>8</v>
      </c>
      <c r="G73" s="3">
        <v>0.125</v>
      </c>
      <c r="H73" s="3">
        <v>3.88</v>
      </c>
      <c r="I73" s="3">
        <v>4.37</v>
      </c>
      <c r="J73" t="s">
        <v>51</v>
      </c>
    </row>
    <row r="74" spans="1:10">
      <c r="A74" t="s">
        <v>73</v>
      </c>
      <c r="B74" t="s">
        <v>44</v>
      </c>
      <c r="C74" t="s">
        <v>59</v>
      </c>
      <c r="D74" t="s">
        <v>31</v>
      </c>
      <c r="E74" s="3">
        <v>4</v>
      </c>
      <c r="F74" s="3">
        <v>8</v>
      </c>
      <c r="G74" s="3">
        <v>0</v>
      </c>
      <c r="H74" s="3">
        <v>4</v>
      </c>
      <c r="I74" s="3">
        <v>4</v>
      </c>
      <c r="J74" t="s">
        <v>51</v>
      </c>
    </row>
    <row r="75" spans="1:10">
      <c r="A75" t="s">
        <v>73</v>
      </c>
      <c r="B75" t="s">
        <v>44</v>
      </c>
      <c r="C75" t="s">
        <v>60</v>
      </c>
      <c r="D75" t="s">
        <v>30</v>
      </c>
      <c r="E75" s="3">
        <v>4</v>
      </c>
      <c r="F75" s="3">
        <v>8</v>
      </c>
      <c r="G75" s="3">
        <v>0</v>
      </c>
      <c r="H75" s="3">
        <v>4</v>
      </c>
      <c r="I75" s="3">
        <v>4</v>
      </c>
      <c r="J75" t="s">
        <v>51</v>
      </c>
    </row>
    <row r="76" spans="1:10">
      <c r="A76" t="s">
        <v>73</v>
      </c>
      <c r="B76" t="s">
        <v>44</v>
      </c>
      <c r="C76" t="s">
        <v>61</v>
      </c>
      <c r="D76" t="s">
        <v>26</v>
      </c>
      <c r="E76" s="3">
        <v>3</v>
      </c>
      <c r="F76" s="3">
        <v>8</v>
      </c>
      <c r="G76" s="3">
        <v>0</v>
      </c>
      <c r="H76" s="3">
        <v>3</v>
      </c>
      <c r="I76" s="3">
        <v>3</v>
      </c>
      <c r="J76" t="s">
        <v>51</v>
      </c>
    </row>
    <row r="77" spans="1:10">
      <c r="A77" t="s">
        <v>73</v>
      </c>
      <c r="B77" t="s">
        <v>44</v>
      </c>
      <c r="C77" t="s">
        <v>62</v>
      </c>
      <c r="D77" t="s">
        <v>29</v>
      </c>
      <c r="E77" s="3">
        <v>1.88</v>
      </c>
      <c r="F77" s="3">
        <v>8</v>
      </c>
      <c r="G77" s="3">
        <v>0.125</v>
      </c>
      <c r="H77" s="3">
        <v>1.63</v>
      </c>
      <c r="I77" s="3">
        <v>2.12</v>
      </c>
      <c r="J77" t="s">
        <v>51</v>
      </c>
    </row>
    <row r="78" spans="1:10">
      <c r="A78" t="s">
        <v>73</v>
      </c>
      <c r="B78" t="s">
        <v>44</v>
      </c>
      <c r="C78" t="s">
        <v>63</v>
      </c>
      <c r="D78" t="s">
        <v>24</v>
      </c>
      <c r="E78" s="3">
        <v>4.12</v>
      </c>
      <c r="F78" s="3">
        <v>8</v>
      </c>
      <c r="G78" s="3">
        <v>0.125</v>
      </c>
      <c r="H78" s="3">
        <v>3.88</v>
      </c>
      <c r="I78" s="3">
        <v>4.37</v>
      </c>
      <c r="J78" t="s">
        <v>51</v>
      </c>
    </row>
    <row r="79" spans="1:10">
      <c r="A79" t="s">
        <v>73</v>
      </c>
      <c r="B79" t="s">
        <v>44</v>
      </c>
      <c r="C79" t="s">
        <v>64</v>
      </c>
      <c r="D79" t="s">
        <v>22</v>
      </c>
      <c r="E79" s="3">
        <v>3.25</v>
      </c>
      <c r="F79" s="3">
        <v>8</v>
      </c>
      <c r="G79" s="3">
        <v>0.16370000000000001</v>
      </c>
      <c r="H79" s="3">
        <v>2.9291999999999998</v>
      </c>
      <c r="I79" s="3">
        <v>3.5708000000000002</v>
      </c>
      <c r="J79" t="s">
        <v>51</v>
      </c>
    </row>
    <row r="80" spans="1:10">
      <c r="A80" t="s">
        <v>73</v>
      </c>
      <c r="B80" t="s">
        <v>44</v>
      </c>
      <c r="C80" t="s">
        <v>65</v>
      </c>
      <c r="D80" t="s">
        <v>25</v>
      </c>
      <c r="E80" s="3">
        <v>3</v>
      </c>
      <c r="F80" s="3">
        <v>8</v>
      </c>
      <c r="G80" s="3">
        <v>0</v>
      </c>
      <c r="H80" s="3">
        <v>3</v>
      </c>
      <c r="I80" s="3">
        <v>3</v>
      </c>
      <c r="J80" t="s">
        <v>51</v>
      </c>
    </row>
    <row r="81" spans="1:10">
      <c r="A81" t="s">
        <v>73</v>
      </c>
      <c r="B81" t="s">
        <v>44</v>
      </c>
      <c r="C81" t="s">
        <v>66</v>
      </c>
      <c r="D81" t="s">
        <v>27</v>
      </c>
      <c r="E81" s="3">
        <v>3.88</v>
      </c>
      <c r="F81" s="3">
        <v>8</v>
      </c>
      <c r="G81" s="3">
        <v>0.125</v>
      </c>
      <c r="H81" s="3">
        <v>3.63</v>
      </c>
      <c r="I81" s="3">
        <v>4.12</v>
      </c>
      <c r="J81" t="s">
        <v>51</v>
      </c>
    </row>
    <row r="82" spans="1:10">
      <c r="A82" t="s">
        <v>74</v>
      </c>
      <c r="B82" t="s">
        <v>38</v>
      </c>
      <c r="C82" t="s">
        <v>57</v>
      </c>
      <c r="D82" t="s">
        <v>28</v>
      </c>
      <c r="E82" s="3">
        <v>3.88</v>
      </c>
      <c r="F82" s="3">
        <v>8</v>
      </c>
      <c r="G82" s="3">
        <v>0.125</v>
      </c>
      <c r="H82" s="3">
        <v>3.63</v>
      </c>
      <c r="I82" s="3">
        <v>4.12</v>
      </c>
      <c r="J82" t="s">
        <v>51</v>
      </c>
    </row>
    <row r="83" spans="1:10">
      <c r="A83" t="s">
        <v>74</v>
      </c>
      <c r="B83" t="s">
        <v>38</v>
      </c>
      <c r="C83" t="s">
        <v>58</v>
      </c>
      <c r="D83" t="s">
        <v>23</v>
      </c>
      <c r="E83" s="3">
        <v>3.88</v>
      </c>
      <c r="F83" s="3">
        <v>8</v>
      </c>
      <c r="G83" s="3">
        <v>0.125</v>
      </c>
      <c r="H83" s="3">
        <v>3.63</v>
      </c>
      <c r="I83" s="3">
        <v>4.12</v>
      </c>
      <c r="J83" t="s">
        <v>51</v>
      </c>
    </row>
    <row r="84" spans="1:10">
      <c r="A84" t="s">
        <v>74</v>
      </c>
      <c r="B84" t="s">
        <v>38</v>
      </c>
      <c r="C84" t="s">
        <v>59</v>
      </c>
      <c r="D84" t="s">
        <v>31</v>
      </c>
      <c r="E84" s="3">
        <v>3.38</v>
      </c>
      <c r="F84" s="3">
        <v>8</v>
      </c>
      <c r="G84" s="3">
        <v>0.183</v>
      </c>
      <c r="H84" s="3">
        <v>3.0164</v>
      </c>
      <c r="I84" s="3">
        <v>3.7336</v>
      </c>
      <c r="J84" t="s">
        <v>51</v>
      </c>
    </row>
    <row r="85" spans="1:10">
      <c r="A85" t="s">
        <v>74</v>
      </c>
      <c r="B85" t="s">
        <v>38</v>
      </c>
      <c r="C85" t="s">
        <v>60</v>
      </c>
      <c r="D85" t="s">
        <v>30</v>
      </c>
      <c r="E85" s="3">
        <v>3.88</v>
      </c>
      <c r="F85" s="3">
        <v>8</v>
      </c>
      <c r="G85" s="3">
        <v>0.125</v>
      </c>
      <c r="H85" s="3">
        <v>3.63</v>
      </c>
      <c r="I85" s="3">
        <v>4.12</v>
      </c>
      <c r="J85" t="s">
        <v>51</v>
      </c>
    </row>
    <row r="86" spans="1:10">
      <c r="A86" t="s">
        <v>74</v>
      </c>
      <c r="B86" t="s">
        <v>38</v>
      </c>
      <c r="C86" t="s">
        <v>61</v>
      </c>
      <c r="D86" t="s">
        <v>26</v>
      </c>
      <c r="E86" s="3">
        <v>3.12</v>
      </c>
      <c r="F86" s="3">
        <v>8</v>
      </c>
      <c r="G86" s="3">
        <v>0.125</v>
      </c>
      <c r="H86" s="3">
        <v>2.88</v>
      </c>
      <c r="I86" s="3">
        <v>3.37</v>
      </c>
      <c r="J86" t="s">
        <v>51</v>
      </c>
    </row>
    <row r="87" spans="1:10">
      <c r="A87" t="s">
        <v>74</v>
      </c>
      <c r="B87" t="s">
        <v>38</v>
      </c>
      <c r="C87" t="s">
        <v>62</v>
      </c>
      <c r="D87" t="s">
        <v>29</v>
      </c>
      <c r="E87" s="3">
        <v>1.88</v>
      </c>
      <c r="F87" s="3">
        <v>8</v>
      </c>
      <c r="G87" s="3">
        <v>0.2266</v>
      </c>
      <c r="H87" s="3">
        <v>1.4309000000000001</v>
      </c>
      <c r="I87" s="3">
        <v>2.3191000000000002</v>
      </c>
      <c r="J87" t="s">
        <v>51</v>
      </c>
    </row>
    <row r="88" spans="1:10">
      <c r="A88" t="s">
        <v>74</v>
      </c>
      <c r="B88" t="s">
        <v>38</v>
      </c>
      <c r="C88" t="s">
        <v>63</v>
      </c>
      <c r="D88" t="s">
        <v>24</v>
      </c>
      <c r="E88" s="3">
        <v>3.75</v>
      </c>
      <c r="F88" s="3">
        <v>8</v>
      </c>
      <c r="G88" s="3">
        <v>0.16370000000000001</v>
      </c>
      <c r="H88" s="3">
        <v>3.4291999999999998</v>
      </c>
      <c r="I88" s="3">
        <v>4.0708000000000002</v>
      </c>
      <c r="J88" t="s">
        <v>51</v>
      </c>
    </row>
    <row r="89" spans="1:10">
      <c r="A89" t="s">
        <v>74</v>
      </c>
      <c r="B89" t="s">
        <v>38</v>
      </c>
      <c r="C89" t="s">
        <v>64</v>
      </c>
      <c r="D89" t="s">
        <v>22</v>
      </c>
      <c r="E89" s="3">
        <v>3.38</v>
      </c>
      <c r="F89" s="3">
        <v>8</v>
      </c>
      <c r="G89" s="3">
        <v>0.183</v>
      </c>
      <c r="H89" s="3">
        <v>3.0164</v>
      </c>
      <c r="I89" s="3">
        <v>3.7336</v>
      </c>
      <c r="J89" t="s">
        <v>51</v>
      </c>
    </row>
    <row r="90" spans="1:10">
      <c r="A90" t="s">
        <v>74</v>
      </c>
      <c r="B90" t="s">
        <v>38</v>
      </c>
      <c r="C90" t="s">
        <v>65</v>
      </c>
      <c r="D90" t="s">
        <v>25</v>
      </c>
      <c r="E90" s="3">
        <v>2.88</v>
      </c>
      <c r="F90" s="3">
        <v>8</v>
      </c>
      <c r="G90" s="3">
        <v>0.125</v>
      </c>
      <c r="H90" s="3">
        <v>2.63</v>
      </c>
      <c r="I90" s="3">
        <v>3.12</v>
      </c>
      <c r="J90" t="s">
        <v>51</v>
      </c>
    </row>
    <row r="91" spans="1:10">
      <c r="A91" t="s">
        <v>74</v>
      </c>
      <c r="B91" t="s">
        <v>38</v>
      </c>
      <c r="C91" t="s">
        <v>66</v>
      </c>
      <c r="D91" t="s">
        <v>27</v>
      </c>
      <c r="E91" s="3">
        <v>3.12</v>
      </c>
      <c r="F91" s="3">
        <v>8</v>
      </c>
      <c r="G91" s="3">
        <v>0.125</v>
      </c>
      <c r="H91" s="3">
        <v>2.88</v>
      </c>
      <c r="I91" s="3">
        <v>3.37</v>
      </c>
      <c r="J91" t="s">
        <v>51</v>
      </c>
    </row>
    <row r="92" spans="1:10">
      <c r="A92" t="s">
        <v>75</v>
      </c>
      <c r="B92" t="s">
        <v>39</v>
      </c>
      <c r="C92" t="s">
        <v>57</v>
      </c>
      <c r="D92" t="s">
        <v>28</v>
      </c>
      <c r="E92" s="3">
        <v>3.88</v>
      </c>
      <c r="F92" s="3">
        <v>8</v>
      </c>
      <c r="G92" s="3">
        <v>0.125</v>
      </c>
      <c r="H92" s="3">
        <v>3.63</v>
      </c>
      <c r="I92" s="3">
        <v>4.12</v>
      </c>
      <c r="J92" t="s">
        <v>51</v>
      </c>
    </row>
    <row r="93" spans="1:10">
      <c r="A93" t="s">
        <v>75</v>
      </c>
      <c r="B93" t="s">
        <v>39</v>
      </c>
      <c r="C93" t="s">
        <v>58</v>
      </c>
      <c r="D93" t="s">
        <v>23</v>
      </c>
      <c r="E93" s="3">
        <v>4</v>
      </c>
      <c r="F93" s="3">
        <v>8</v>
      </c>
      <c r="G93" s="3">
        <v>0</v>
      </c>
      <c r="H93" s="3">
        <v>4</v>
      </c>
      <c r="I93" s="3">
        <v>4</v>
      </c>
      <c r="J93" t="s">
        <v>51</v>
      </c>
    </row>
    <row r="94" spans="1:10">
      <c r="A94" t="s">
        <v>75</v>
      </c>
      <c r="B94" t="s">
        <v>39</v>
      </c>
      <c r="C94" t="s">
        <v>59</v>
      </c>
      <c r="D94" t="s">
        <v>31</v>
      </c>
      <c r="E94" s="3">
        <v>3.88</v>
      </c>
      <c r="F94" s="3">
        <v>8</v>
      </c>
      <c r="G94" s="3">
        <v>0.125</v>
      </c>
      <c r="H94" s="3">
        <v>3.63</v>
      </c>
      <c r="I94" s="3">
        <v>4.12</v>
      </c>
      <c r="J94" t="s">
        <v>51</v>
      </c>
    </row>
    <row r="95" spans="1:10">
      <c r="A95" t="s">
        <v>75</v>
      </c>
      <c r="B95" t="s">
        <v>39</v>
      </c>
      <c r="C95" t="s">
        <v>60</v>
      </c>
      <c r="D95" t="s">
        <v>30</v>
      </c>
      <c r="E95" s="3">
        <v>4.38</v>
      </c>
      <c r="F95" s="3">
        <v>8</v>
      </c>
      <c r="G95" s="3">
        <v>0.183</v>
      </c>
      <c r="H95" s="3">
        <v>4.0164</v>
      </c>
      <c r="I95" s="3">
        <v>4.7336</v>
      </c>
      <c r="J95" t="s">
        <v>51</v>
      </c>
    </row>
    <row r="96" spans="1:10">
      <c r="A96" t="s">
        <v>75</v>
      </c>
      <c r="B96" t="s">
        <v>39</v>
      </c>
      <c r="C96" t="s">
        <v>61</v>
      </c>
      <c r="D96" t="s">
        <v>26</v>
      </c>
      <c r="E96" s="3">
        <v>2.38</v>
      </c>
      <c r="F96" s="3">
        <v>8</v>
      </c>
      <c r="G96" s="3">
        <v>0.183</v>
      </c>
      <c r="H96" s="3">
        <v>2.0164</v>
      </c>
      <c r="I96" s="3">
        <v>2.7336</v>
      </c>
      <c r="J96" t="s">
        <v>51</v>
      </c>
    </row>
    <row r="97" spans="1:10">
      <c r="A97" t="s">
        <v>75</v>
      </c>
      <c r="B97" t="s">
        <v>39</v>
      </c>
      <c r="C97" t="s">
        <v>62</v>
      </c>
      <c r="D97" t="s">
        <v>29</v>
      </c>
      <c r="E97" s="3">
        <v>1.62</v>
      </c>
      <c r="F97" s="3">
        <v>8</v>
      </c>
      <c r="G97" s="3">
        <v>0.183</v>
      </c>
      <c r="H97" s="3">
        <v>1.2664</v>
      </c>
      <c r="I97" s="3">
        <v>1.9836</v>
      </c>
      <c r="J97" t="s">
        <v>51</v>
      </c>
    </row>
    <row r="98" spans="1:10">
      <c r="A98" t="s">
        <v>75</v>
      </c>
      <c r="B98" t="s">
        <v>39</v>
      </c>
      <c r="C98" t="s">
        <v>63</v>
      </c>
      <c r="D98" t="s">
        <v>24</v>
      </c>
      <c r="E98" s="3">
        <v>3.88</v>
      </c>
      <c r="F98" s="3">
        <v>8</v>
      </c>
      <c r="G98" s="3">
        <v>0.125</v>
      </c>
      <c r="H98" s="3">
        <v>3.63</v>
      </c>
      <c r="I98" s="3">
        <v>4.12</v>
      </c>
      <c r="J98" t="s">
        <v>51</v>
      </c>
    </row>
    <row r="99" spans="1:10">
      <c r="A99" t="s">
        <v>75</v>
      </c>
      <c r="B99" t="s">
        <v>39</v>
      </c>
      <c r="C99" t="s">
        <v>64</v>
      </c>
      <c r="D99" t="s">
        <v>22</v>
      </c>
      <c r="E99" s="3">
        <v>3.88</v>
      </c>
      <c r="F99" s="3">
        <v>8</v>
      </c>
      <c r="G99" s="3">
        <v>0.125</v>
      </c>
      <c r="H99" s="3">
        <v>3.63</v>
      </c>
      <c r="I99" s="3">
        <v>4.12</v>
      </c>
      <c r="J99" t="s">
        <v>51</v>
      </c>
    </row>
    <row r="100" spans="1:10">
      <c r="A100" t="s">
        <v>75</v>
      </c>
      <c r="B100" t="s">
        <v>39</v>
      </c>
      <c r="C100" t="s">
        <v>65</v>
      </c>
      <c r="D100" t="s">
        <v>25</v>
      </c>
      <c r="E100" s="3">
        <v>4.12</v>
      </c>
      <c r="F100" s="3">
        <v>8</v>
      </c>
      <c r="G100" s="3">
        <v>0.2266</v>
      </c>
      <c r="H100" s="3">
        <v>3.6808999999999998</v>
      </c>
      <c r="I100" s="3">
        <v>4.5690999999999997</v>
      </c>
      <c r="J100" t="s">
        <v>51</v>
      </c>
    </row>
    <row r="101" spans="1:10">
      <c r="A101" t="s">
        <v>75</v>
      </c>
      <c r="B101" t="s">
        <v>39</v>
      </c>
      <c r="C101" t="s">
        <v>66</v>
      </c>
      <c r="D101" t="s">
        <v>27</v>
      </c>
      <c r="E101" s="3">
        <v>3.88</v>
      </c>
      <c r="F101" s="3">
        <v>8</v>
      </c>
      <c r="G101" s="3">
        <v>0.125</v>
      </c>
      <c r="H101" s="3">
        <v>3.63</v>
      </c>
      <c r="I101" s="3">
        <v>4.12</v>
      </c>
      <c r="J101" t="s">
        <v>51</v>
      </c>
    </row>
    <row r="102" spans="1:10">
      <c r="A102" t="s">
        <v>76</v>
      </c>
      <c r="B102" t="s">
        <v>41</v>
      </c>
      <c r="C102" t="s">
        <v>57</v>
      </c>
      <c r="D102" t="s">
        <v>28</v>
      </c>
      <c r="E102" s="3">
        <v>4.38</v>
      </c>
      <c r="F102" s="3">
        <v>8</v>
      </c>
      <c r="G102" s="3">
        <v>0.183</v>
      </c>
      <c r="H102" s="3">
        <v>4.0164</v>
      </c>
      <c r="I102" s="3">
        <v>4.7336</v>
      </c>
      <c r="J102" t="s">
        <v>51</v>
      </c>
    </row>
    <row r="103" spans="1:10">
      <c r="A103" t="s">
        <v>76</v>
      </c>
      <c r="B103" t="s">
        <v>41</v>
      </c>
      <c r="C103" t="s">
        <v>58</v>
      </c>
      <c r="D103" t="s">
        <v>23</v>
      </c>
      <c r="E103" s="3">
        <v>4.38</v>
      </c>
      <c r="F103" s="3">
        <v>8</v>
      </c>
      <c r="G103" s="3">
        <v>0.183</v>
      </c>
      <c r="H103" s="3">
        <v>4.0164</v>
      </c>
      <c r="I103" s="3">
        <v>4.7336</v>
      </c>
      <c r="J103" t="s">
        <v>51</v>
      </c>
    </row>
    <row r="104" spans="1:10">
      <c r="A104" t="s">
        <v>76</v>
      </c>
      <c r="B104" t="s">
        <v>41</v>
      </c>
      <c r="C104" t="s">
        <v>59</v>
      </c>
      <c r="D104" t="s">
        <v>31</v>
      </c>
      <c r="E104" s="3">
        <v>4.25</v>
      </c>
      <c r="F104" s="3">
        <v>8</v>
      </c>
      <c r="G104" s="3">
        <v>0.16370000000000001</v>
      </c>
      <c r="H104" s="3">
        <v>3.9291999999999998</v>
      </c>
      <c r="I104" s="3">
        <v>4.5708000000000002</v>
      </c>
      <c r="J104" t="s">
        <v>51</v>
      </c>
    </row>
    <row r="105" spans="1:10">
      <c r="A105" t="s">
        <v>76</v>
      </c>
      <c r="B105" t="s">
        <v>41</v>
      </c>
      <c r="C105" t="s">
        <v>60</v>
      </c>
      <c r="D105" t="s">
        <v>30</v>
      </c>
      <c r="E105" s="3">
        <v>4.12</v>
      </c>
      <c r="F105" s="3">
        <v>8</v>
      </c>
      <c r="G105" s="3">
        <v>0.125</v>
      </c>
      <c r="H105" s="3">
        <v>3.88</v>
      </c>
      <c r="I105" s="3">
        <v>4.37</v>
      </c>
      <c r="J105" t="s">
        <v>51</v>
      </c>
    </row>
    <row r="106" spans="1:10">
      <c r="A106" t="s">
        <v>76</v>
      </c>
      <c r="B106" t="s">
        <v>41</v>
      </c>
      <c r="C106" t="s">
        <v>61</v>
      </c>
      <c r="D106" t="s">
        <v>26</v>
      </c>
      <c r="E106" s="3">
        <v>3.5</v>
      </c>
      <c r="F106" s="3">
        <v>8</v>
      </c>
      <c r="G106" s="3">
        <v>0.189</v>
      </c>
      <c r="H106" s="3">
        <v>3.1295999999999999</v>
      </c>
      <c r="I106" s="3">
        <v>3.8704000000000001</v>
      </c>
      <c r="J106" t="s">
        <v>51</v>
      </c>
    </row>
    <row r="107" spans="1:10">
      <c r="A107" t="s">
        <v>76</v>
      </c>
      <c r="B107" t="s">
        <v>41</v>
      </c>
      <c r="C107" t="s">
        <v>62</v>
      </c>
      <c r="D107" t="s">
        <v>29</v>
      </c>
      <c r="E107" s="3">
        <v>3.75</v>
      </c>
      <c r="F107" s="3">
        <v>8</v>
      </c>
      <c r="G107" s="3">
        <v>0.25</v>
      </c>
      <c r="H107" s="3">
        <v>3.26</v>
      </c>
      <c r="I107" s="3">
        <v>4.24</v>
      </c>
      <c r="J107" t="s">
        <v>51</v>
      </c>
    </row>
    <row r="108" spans="1:10">
      <c r="A108" t="s">
        <v>76</v>
      </c>
      <c r="B108" t="s">
        <v>41</v>
      </c>
      <c r="C108" t="s">
        <v>63</v>
      </c>
      <c r="D108" t="s">
        <v>24</v>
      </c>
      <c r="E108" s="3">
        <v>4.12</v>
      </c>
      <c r="F108" s="3">
        <v>8</v>
      </c>
      <c r="G108" s="3">
        <v>0.125</v>
      </c>
      <c r="H108" s="3">
        <v>3.88</v>
      </c>
      <c r="I108" s="3">
        <v>4.37</v>
      </c>
      <c r="J108" t="s">
        <v>51</v>
      </c>
    </row>
    <row r="109" spans="1:10">
      <c r="A109" t="s">
        <v>76</v>
      </c>
      <c r="B109" t="s">
        <v>41</v>
      </c>
      <c r="C109" t="s">
        <v>64</v>
      </c>
      <c r="D109" t="s">
        <v>22</v>
      </c>
      <c r="E109" s="3">
        <v>3.88</v>
      </c>
      <c r="F109" s="3">
        <v>8</v>
      </c>
      <c r="G109" s="3">
        <v>0.125</v>
      </c>
      <c r="H109" s="3">
        <v>3.63</v>
      </c>
      <c r="I109" s="3">
        <v>4.12</v>
      </c>
      <c r="J109" t="s">
        <v>51</v>
      </c>
    </row>
    <row r="110" spans="1:10">
      <c r="A110" t="s">
        <v>76</v>
      </c>
      <c r="B110" t="s">
        <v>41</v>
      </c>
      <c r="C110" t="s">
        <v>65</v>
      </c>
      <c r="D110" t="s">
        <v>25</v>
      </c>
      <c r="E110" s="3">
        <v>3.62</v>
      </c>
      <c r="F110" s="3">
        <v>8</v>
      </c>
      <c r="G110" s="3">
        <v>0.183</v>
      </c>
      <c r="H110" s="3">
        <v>3.2664</v>
      </c>
      <c r="I110" s="3">
        <v>3.9836</v>
      </c>
      <c r="J110" t="s">
        <v>51</v>
      </c>
    </row>
    <row r="111" spans="1:10">
      <c r="A111" t="s">
        <v>76</v>
      </c>
      <c r="B111" t="s">
        <v>41</v>
      </c>
      <c r="C111" t="s">
        <v>66</v>
      </c>
      <c r="D111" t="s">
        <v>27</v>
      </c>
      <c r="E111" s="3">
        <v>3.88</v>
      </c>
      <c r="F111" s="3">
        <v>8</v>
      </c>
      <c r="G111" s="3">
        <v>0.125</v>
      </c>
      <c r="H111" s="3">
        <v>3.63</v>
      </c>
      <c r="I111" s="3">
        <v>4.12</v>
      </c>
      <c r="J111" t="s">
        <v>51</v>
      </c>
    </row>
    <row r="112" spans="1:10">
      <c r="A112" t="s">
        <v>77</v>
      </c>
      <c r="B112" t="s">
        <v>46</v>
      </c>
      <c r="C112" t="s">
        <v>57</v>
      </c>
      <c r="D112" t="s">
        <v>28</v>
      </c>
      <c r="E112" s="3">
        <v>4</v>
      </c>
      <c r="F112" s="3">
        <v>8</v>
      </c>
      <c r="G112" s="3">
        <v>0</v>
      </c>
      <c r="H112" s="3">
        <v>4</v>
      </c>
      <c r="I112" s="3">
        <v>4</v>
      </c>
      <c r="J112" t="s">
        <v>51</v>
      </c>
    </row>
    <row r="113" spans="1:10">
      <c r="A113" t="s">
        <v>77</v>
      </c>
      <c r="B113" t="s">
        <v>46</v>
      </c>
      <c r="C113" t="s">
        <v>58</v>
      </c>
      <c r="D113" t="s">
        <v>23</v>
      </c>
      <c r="E113" s="3">
        <v>4</v>
      </c>
      <c r="F113" s="3">
        <v>8</v>
      </c>
      <c r="G113" s="3">
        <v>0</v>
      </c>
      <c r="H113" s="3">
        <v>4</v>
      </c>
      <c r="I113" s="3">
        <v>4</v>
      </c>
      <c r="J113" t="s">
        <v>51</v>
      </c>
    </row>
    <row r="114" spans="1:10">
      <c r="A114" t="s">
        <v>77</v>
      </c>
      <c r="B114" t="s">
        <v>46</v>
      </c>
      <c r="C114" t="s">
        <v>59</v>
      </c>
      <c r="D114" t="s">
        <v>31</v>
      </c>
      <c r="E114" s="3">
        <v>3.75</v>
      </c>
      <c r="F114" s="3">
        <v>8</v>
      </c>
      <c r="G114" s="3">
        <v>0.16370000000000001</v>
      </c>
      <c r="H114" s="3">
        <v>3.4291999999999998</v>
      </c>
      <c r="I114" s="3">
        <v>4.0708000000000002</v>
      </c>
      <c r="J114" t="s">
        <v>51</v>
      </c>
    </row>
    <row r="115" spans="1:10">
      <c r="A115" t="s">
        <v>77</v>
      </c>
      <c r="B115" t="s">
        <v>46</v>
      </c>
      <c r="C115" t="s">
        <v>60</v>
      </c>
      <c r="D115" t="s">
        <v>30</v>
      </c>
      <c r="E115" s="3">
        <v>4</v>
      </c>
      <c r="F115" s="3">
        <v>8</v>
      </c>
      <c r="G115" s="3">
        <v>0</v>
      </c>
      <c r="H115" s="3">
        <v>4</v>
      </c>
      <c r="I115" s="3">
        <v>4</v>
      </c>
      <c r="J115" t="s">
        <v>51</v>
      </c>
    </row>
    <row r="116" spans="1:10">
      <c r="A116" t="s">
        <v>77</v>
      </c>
      <c r="B116" t="s">
        <v>46</v>
      </c>
      <c r="C116" t="s">
        <v>61</v>
      </c>
      <c r="D116" t="s">
        <v>26</v>
      </c>
      <c r="E116" s="3">
        <v>2.75</v>
      </c>
      <c r="F116" s="3">
        <v>8</v>
      </c>
      <c r="G116" s="3">
        <v>0.16370000000000001</v>
      </c>
      <c r="H116" s="3">
        <v>2.4291999999999998</v>
      </c>
      <c r="I116" s="3">
        <v>3.0708000000000002</v>
      </c>
      <c r="J116" t="s">
        <v>51</v>
      </c>
    </row>
    <row r="117" spans="1:10">
      <c r="A117" t="s">
        <v>77</v>
      </c>
      <c r="B117" t="s">
        <v>46</v>
      </c>
      <c r="C117" t="s">
        <v>62</v>
      </c>
      <c r="D117" t="s">
        <v>29</v>
      </c>
      <c r="E117" s="3">
        <v>1</v>
      </c>
      <c r="F117" s="3">
        <v>8</v>
      </c>
      <c r="G117" s="3">
        <v>0</v>
      </c>
      <c r="H117" s="3">
        <v>1</v>
      </c>
      <c r="I117" s="3">
        <v>1</v>
      </c>
      <c r="J117" t="s">
        <v>51</v>
      </c>
    </row>
    <row r="118" spans="1:10">
      <c r="A118" t="s">
        <v>77</v>
      </c>
      <c r="B118" t="s">
        <v>46</v>
      </c>
      <c r="C118" t="s">
        <v>63</v>
      </c>
      <c r="D118" t="s">
        <v>24</v>
      </c>
      <c r="E118" s="3">
        <v>3.88</v>
      </c>
      <c r="F118" s="3">
        <v>8</v>
      </c>
      <c r="G118" s="3">
        <v>0.125</v>
      </c>
      <c r="H118" s="3">
        <v>3.63</v>
      </c>
      <c r="I118" s="3">
        <v>4.12</v>
      </c>
      <c r="J118" t="s">
        <v>51</v>
      </c>
    </row>
    <row r="119" spans="1:10">
      <c r="A119" t="s">
        <v>77</v>
      </c>
      <c r="B119" t="s">
        <v>46</v>
      </c>
      <c r="C119" t="s">
        <v>64</v>
      </c>
      <c r="D119" t="s">
        <v>22</v>
      </c>
      <c r="E119" s="3">
        <v>3.75</v>
      </c>
      <c r="F119" s="3">
        <v>8</v>
      </c>
      <c r="G119" s="3">
        <v>0.16370000000000001</v>
      </c>
      <c r="H119" s="3">
        <v>3.4291999999999998</v>
      </c>
      <c r="I119" s="3">
        <v>4.0708000000000002</v>
      </c>
      <c r="J119" t="s">
        <v>51</v>
      </c>
    </row>
    <row r="120" spans="1:10">
      <c r="A120" t="s">
        <v>77</v>
      </c>
      <c r="B120" t="s">
        <v>46</v>
      </c>
      <c r="C120" t="s">
        <v>65</v>
      </c>
      <c r="D120" t="s">
        <v>25</v>
      </c>
      <c r="E120" s="3">
        <v>3.62</v>
      </c>
      <c r="F120" s="3">
        <v>8</v>
      </c>
      <c r="G120" s="3">
        <v>0.183</v>
      </c>
      <c r="H120" s="3">
        <v>3.2664</v>
      </c>
      <c r="I120" s="3">
        <v>3.9836</v>
      </c>
      <c r="J120" t="s">
        <v>51</v>
      </c>
    </row>
    <row r="121" spans="1:10">
      <c r="A121" t="s">
        <v>77</v>
      </c>
      <c r="B121" t="s">
        <v>46</v>
      </c>
      <c r="C121" t="s">
        <v>66</v>
      </c>
      <c r="D121" t="s">
        <v>27</v>
      </c>
      <c r="E121" s="3">
        <v>4</v>
      </c>
      <c r="F121" s="3">
        <v>8</v>
      </c>
      <c r="G121" s="3">
        <v>0.189</v>
      </c>
      <c r="H121" s="3">
        <v>3.6295999999999999</v>
      </c>
      <c r="I121" s="3">
        <v>4.3704000000000001</v>
      </c>
      <c r="J121" t="s">
        <v>51</v>
      </c>
    </row>
    <row r="122" spans="1:10">
      <c r="A122" t="s">
        <v>78</v>
      </c>
      <c r="B122" t="s">
        <v>42</v>
      </c>
      <c r="C122" t="s">
        <v>57</v>
      </c>
      <c r="D122" t="s">
        <v>28</v>
      </c>
      <c r="E122" s="3">
        <v>3.88</v>
      </c>
      <c r="F122" s="3">
        <v>8</v>
      </c>
      <c r="G122" s="3">
        <v>0.125</v>
      </c>
      <c r="H122" s="3">
        <v>3.63</v>
      </c>
      <c r="I122" s="3">
        <v>4.12</v>
      </c>
      <c r="J122" t="s">
        <v>51</v>
      </c>
    </row>
    <row r="123" spans="1:10">
      <c r="A123" t="s">
        <v>78</v>
      </c>
      <c r="B123" t="s">
        <v>42</v>
      </c>
      <c r="C123" t="s">
        <v>58</v>
      </c>
      <c r="D123" t="s">
        <v>23</v>
      </c>
      <c r="E123" s="3">
        <v>3.75</v>
      </c>
      <c r="F123" s="3">
        <v>8</v>
      </c>
      <c r="G123" s="3">
        <v>0.16370000000000001</v>
      </c>
      <c r="H123" s="3">
        <v>3.4291999999999998</v>
      </c>
      <c r="I123" s="3">
        <v>4.0708000000000002</v>
      </c>
      <c r="J123" t="s">
        <v>51</v>
      </c>
    </row>
    <row r="124" spans="1:10">
      <c r="A124" t="s">
        <v>78</v>
      </c>
      <c r="B124" t="s">
        <v>42</v>
      </c>
      <c r="C124" t="s">
        <v>59</v>
      </c>
      <c r="D124" t="s">
        <v>31</v>
      </c>
      <c r="E124" s="3">
        <v>3.12</v>
      </c>
      <c r="F124" s="3">
        <v>8</v>
      </c>
      <c r="G124" s="3">
        <v>0.125</v>
      </c>
      <c r="H124" s="3">
        <v>2.88</v>
      </c>
      <c r="I124" s="3">
        <v>3.37</v>
      </c>
      <c r="J124" t="s">
        <v>51</v>
      </c>
    </row>
    <row r="125" spans="1:10">
      <c r="A125" t="s">
        <v>78</v>
      </c>
      <c r="B125" t="s">
        <v>42</v>
      </c>
      <c r="C125" t="s">
        <v>60</v>
      </c>
      <c r="D125" t="s">
        <v>30</v>
      </c>
      <c r="E125" s="3">
        <v>3.12</v>
      </c>
      <c r="F125" s="3">
        <v>8</v>
      </c>
      <c r="G125" s="3">
        <v>0.125</v>
      </c>
      <c r="H125" s="3">
        <v>2.88</v>
      </c>
      <c r="I125" s="3">
        <v>3.37</v>
      </c>
      <c r="J125" t="s">
        <v>51</v>
      </c>
    </row>
    <row r="126" spans="1:10">
      <c r="A126" t="s">
        <v>78</v>
      </c>
      <c r="B126" t="s">
        <v>42</v>
      </c>
      <c r="C126" t="s">
        <v>61</v>
      </c>
      <c r="D126" t="s">
        <v>26</v>
      </c>
      <c r="E126" s="3">
        <v>3.25</v>
      </c>
      <c r="F126" s="3">
        <v>8</v>
      </c>
      <c r="G126" s="3">
        <v>0.16370000000000001</v>
      </c>
      <c r="H126" s="3">
        <v>2.9291999999999998</v>
      </c>
      <c r="I126" s="3">
        <v>3.5708000000000002</v>
      </c>
      <c r="J126" t="s">
        <v>51</v>
      </c>
    </row>
    <row r="127" spans="1:10">
      <c r="A127" t="s">
        <v>78</v>
      </c>
      <c r="B127" t="s">
        <v>42</v>
      </c>
      <c r="C127" t="s">
        <v>62</v>
      </c>
      <c r="D127" t="s">
        <v>29</v>
      </c>
      <c r="E127" s="3">
        <v>1</v>
      </c>
      <c r="F127" s="3">
        <v>8</v>
      </c>
      <c r="G127" s="3">
        <v>0</v>
      </c>
      <c r="H127" s="3">
        <v>1</v>
      </c>
      <c r="I127" s="3">
        <v>1</v>
      </c>
      <c r="J127" t="s">
        <v>51</v>
      </c>
    </row>
    <row r="128" spans="1:10">
      <c r="A128" t="s">
        <v>78</v>
      </c>
      <c r="B128" t="s">
        <v>42</v>
      </c>
      <c r="C128" t="s">
        <v>63</v>
      </c>
      <c r="D128" t="s">
        <v>24</v>
      </c>
      <c r="E128" s="3">
        <v>3.12</v>
      </c>
      <c r="F128" s="3">
        <v>8</v>
      </c>
      <c r="G128" s="3">
        <v>0.125</v>
      </c>
      <c r="H128" s="3">
        <v>2.88</v>
      </c>
      <c r="I128" s="3">
        <v>3.37</v>
      </c>
      <c r="J128" t="s">
        <v>51</v>
      </c>
    </row>
    <row r="129" spans="1:10">
      <c r="A129" t="s">
        <v>78</v>
      </c>
      <c r="B129" t="s">
        <v>42</v>
      </c>
      <c r="C129" t="s">
        <v>64</v>
      </c>
      <c r="D129" t="s">
        <v>22</v>
      </c>
      <c r="E129" s="3">
        <v>2.75</v>
      </c>
      <c r="F129" s="3">
        <v>8</v>
      </c>
      <c r="G129" s="3">
        <v>0.16370000000000001</v>
      </c>
      <c r="H129" s="3">
        <v>2.4291999999999998</v>
      </c>
      <c r="I129" s="3">
        <v>3.0708000000000002</v>
      </c>
      <c r="J129" t="s">
        <v>51</v>
      </c>
    </row>
    <row r="130" spans="1:10">
      <c r="A130" t="s">
        <v>78</v>
      </c>
      <c r="B130" t="s">
        <v>42</v>
      </c>
      <c r="C130" t="s">
        <v>65</v>
      </c>
      <c r="D130" t="s">
        <v>25</v>
      </c>
      <c r="E130" s="3">
        <v>2.25</v>
      </c>
      <c r="F130" s="3">
        <v>8</v>
      </c>
      <c r="G130" s="3">
        <v>0.16370000000000001</v>
      </c>
      <c r="H130" s="3">
        <v>1.9292</v>
      </c>
      <c r="I130" s="3">
        <v>2.5708000000000002</v>
      </c>
      <c r="J130" t="s">
        <v>51</v>
      </c>
    </row>
    <row r="131" spans="1:10">
      <c r="A131" t="s">
        <v>78</v>
      </c>
      <c r="B131" t="s">
        <v>42</v>
      </c>
      <c r="C131" t="s">
        <v>66</v>
      </c>
      <c r="D131" t="s">
        <v>27</v>
      </c>
      <c r="E131" s="3">
        <v>3</v>
      </c>
      <c r="F131" s="3">
        <v>8</v>
      </c>
      <c r="G131" s="3">
        <v>0</v>
      </c>
      <c r="H131" s="3">
        <v>3</v>
      </c>
      <c r="I131" s="3">
        <v>3</v>
      </c>
      <c r="J131" t="s">
        <v>51</v>
      </c>
    </row>
    <row r="132" spans="1:10">
      <c r="A132" t="s">
        <v>79</v>
      </c>
      <c r="B132" t="s">
        <v>43</v>
      </c>
      <c r="C132" t="s">
        <v>57</v>
      </c>
      <c r="D132" t="s">
        <v>28</v>
      </c>
      <c r="E132" s="3">
        <v>4</v>
      </c>
      <c r="F132" s="3">
        <v>8</v>
      </c>
      <c r="G132" s="3">
        <v>0</v>
      </c>
      <c r="H132" s="3">
        <v>4</v>
      </c>
      <c r="I132" s="3">
        <v>4</v>
      </c>
      <c r="J132" t="s">
        <v>51</v>
      </c>
    </row>
    <row r="133" spans="1:10">
      <c r="A133" t="s">
        <v>79</v>
      </c>
      <c r="B133" t="s">
        <v>43</v>
      </c>
      <c r="C133" t="s">
        <v>58</v>
      </c>
      <c r="D133" t="s">
        <v>23</v>
      </c>
      <c r="E133" s="3">
        <v>4</v>
      </c>
      <c r="F133" s="3">
        <v>8</v>
      </c>
      <c r="G133" s="3">
        <v>0</v>
      </c>
      <c r="H133" s="3">
        <v>4</v>
      </c>
      <c r="I133" s="3">
        <v>4</v>
      </c>
      <c r="J133" t="s">
        <v>51</v>
      </c>
    </row>
    <row r="134" spans="1:10">
      <c r="A134" t="s">
        <v>79</v>
      </c>
      <c r="B134" t="s">
        <v>43</v>
      </c>
      <c r="C134" t="s">
        <v>59</v>
      </c>
      <c r="D134" t="s">
        <v>31</v>
      </c>
      <c r="E134" s="3">
        <v>3.5</v>
      </c>
      <c r="F134" s="3">
        <v>8</v>
      </c>
      <c r="G134" s="3">
        <v>0.189</v>
      </c>
      <c r="H134" s="3">
        <v>3.1295999999999999</v>
      </c>
      <c r="I134" s="3">
        <v>3.8704000000000001</v>
      </c>
      <c r="J134" t="s">
        <v>51</v>
      </c>
    </row>
    <row r="135" spans="1:10">
      <c r="A135" t="s">
        <v>79</v>
      </c>
      <c r="B135" t="s">
        <v>43</v>
      </c>
      <c r="C135" t="s">
        <v>60</v>
      </c>
      <c r="D135" t="s">
        <v>30</v>
      </c>
      <c r="E135" s="3">
        <v>3.75</v>
      </c>
      <c r="F135" s="3">
        <v>8</v>
      </c>
      <c r="G135" s="3">
        <v>0.16370000000000001</v>
      </c>
      <c r="H135" s="3">
        <v>3.4291999999999998</v>
      </c>
      <c r="I135" s="3">
        <v>4.0708000000000002</v>
      </c>
      <c r="J135" t="s">
        <v>51</v>
      </c>
    </row>
    <row r="136" spans="1:10">
      <c r="A136" t="s">
        <v>79</v>
      </c>
      <c r="B136" t="s">
        <v>43</v>
      </c>
      <c r="C136" t="s">
        <v>61</v>
      </c>
      <c r="D136" t="s">
        <v>26</v>
      </c>
      <c r="E136" s="3">
        <v>2</v>
      </c>
      <c r="F136" s="3">
        <v>8</v>
      </c>
      <c r="G136" s="3">
        <v>0</v>
      </c>
      <c r="H136" s="3">
        <v>2</v>
      </c>
      <c r="I136" s="3">
        <v>2</v>
      </c>
      <c r="J136" t="s">
        <v>51</v>
      </c>
    </row>
    <row r="137" spans="1:10">
      <c r="A137" t="s">
        <v>79</v>
      </c>
      <c r="B137" t="s">
        <v>43</v>
      </c>
      <c r="C137" t="s">
        <v>62</v>
      </c>
      <c r="D137" t="s">
        <v>29</v>
      </c>
      <c r="E137" s="3">
        <v>1.1200000000000001</v>
      </c>
      <c r="F137" s="3">
        <v>8</v>
      </c>
      <c r="G137" s="3">
        <v>0.125</v>
      </c>
      <c r="H137" s="3">
        <v>1</v>
      </c>
      <c r="I137" s="3">
        <v>1.37</v>
      </c>
      <c r="J137" t="s">
        <v>51</v>
      </c>
    </row>
    <row r="138" spans="1:10">
      <c r="A138" t="s">
        <v>79</v>
      </c>
      <c r="B138" t="s">
        <v>43</v>
      </c>
      <c r="C138" t="s">
        <v>63</v>
      </c>
      <c r="D138" t="s">
        <v>24</v>
      </c>
      <c r="E138" s="3">
        <v>3.38</v>
      </c>
      <c r="F138" s="3">
        <v>8</v>
      </c>
      <c r="G138" s="3">
        <v>0.183</v>
      </c>
      <c r="H138" s="3">
        <v>3.0164</v>
      </c>
      <c r="I138" s="3">
        <v>3.7336</v>
      </c>
      <c r="J138" t="s">
        <v>51</v>
      </c>
    </row>
    <row r="139" spans="1:10">
      <c r="A139" t="s">
        <v>79</v>
      </c>
      <c r="B139" t="s">
        <v>43</v>
      </c>
      <c r="C139" t="s">
        <v>64</v>
      </c>
      <c r="D139" t="s">
        <v>22</v>
      </c>
      <c r="E139" s="3">
        <v>3</v>
      </c>
      <c r="F139" s="3">
        <v>8</v>
      </c>
      <c r="G139" s="3">
        <v>0.189</v>
      </c>
      <c r="H139" s="3">
        <v>2.6295999999999999</v>
      </c>
      <c r="I139" s="3">
        <v>3.3704000000000001</v>
      </c>
      <c r="J139" t="s">
        <v>51</v>
      </c>
    </row>
    <row r="140" spans="1:10">
      <c r="A140" t="s">
        <v>79</v>
      </c>
      <c r="B140" t="s">
        <v>43</v>
      </c>
      <c r="C140" t="s">
        <v>65</v>
      </c>
      <c r="D140" t="s">
        <v>25</v>
      </c>
      <c r="E140" s="3">
        <v>2.5</v>
      </c>
      <c r="F140" s="3">
        <v>8</v>
      </c>
      <c r="G140" s="3">
        <v>0.189</v>
      </c>
      <c r="H140" s="3">
        <v>2.1295999999999999</v>
      </c>
      <c r="I140" s="3">
        <v>2.8704000000000001</v>
      </c>
      <c r="J140" t="s">
        <v>51</v>
      </c>
    </row>
    <row r="141" spans="1:10">
      <c r="A141" t="s">
        <v>79</v>
      </c>
      <c r="B141" t="s">
        <v>43</v>
      </c>
      <c r="C141" t="s">
        <v>66</v>
      </c>
      <c r="D141" t="s">
        <v>27</v>
      </c>
      <c r="E141" s="3">
        <v>3.38</v>
      </c>
      <c r="F141" s="3">
        <v>8</v>
      </c>
      <c r="G141" s="3">
        <v>0.183</v>
      </c>
      <c r="H141" s="3">
        <v>3.0164</v>
      </c>
      <c r="I141" s="3">
        <v>3.7336</v>
      </c>
      <c r="J141" t="s">
        <v>51</v>
      </c>
    </row>
  </sheetData>
  <conditionalFormatting sqref="E2:E1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workbookViewId="0">
      <pane ySplit="1" topLeftCell="A2" activePane="bottomLeft" state="frozen"/>
      <selection pane="bottomLeft" activeCell="D26" sqref="D26"/>
    </sheetView>
  </sheetViews>
  <sheetFormatPr defaultRowHeight="14.25"/>
  <cols>
    <col min="1" max="1" width="17" customWidth="1"/>
    <col min="2" max="2" width="63" customWidth="1"/>
    <col min="3" max="3" width="14" customWidth="1"/>
    <col min="4" max="4" width="15" customWidth="1"/>
    <col min="5" max="5" width="20" customWidth="1"/>
  </cols>
  <sheetData>
    <row r="1" spans="1:5" ht="32.1" customHeight="1">
      <c r="A1" s="1" t="s">
        <v>47</v>
      </c>
      <c r="B1" s="1" t="s">
        <v>21</v>
      </c>
      <c r="C1" s="1" t="s">
        <v>80</v>
      </c>
      <c r="D1" s="1" t="s">
        <v>81</v>
      </c>
      <c r="E1" s="1" t="s">
        <v>82</v>
      </c>
    </row>
    <row r="2" spans="1:5">
      <c r="A2" t="s">
        <v>56</v>
      </c>
      <c r="B2" t="s">
        <v>32</v>
      </c>
      <c r="C2">
        <v>3</v>
      </c>
      <c r="D2" t="s">
        <v>83</v>
      </c>
      <c r="E2" t="s">
        <v>84</v>
      </c>
    </row>
    <row r="3" spans="1:5">
      <c r="A3" t="s">
        <v>67</v>
      </c>
      <c r="B3" t="s">
        <v>33</v>
      </c>
      <c r="C3">
        <v>4</v>
      </c>
      <c r="D3" t="s">
        <v>85</v>
      </c>
      <c r="E3" t="s">
        <v>84</v>
      </c>
    </row>
    <row r="4" spans="1:5">
      <c r="A4" t="s">
        <v>68</v>
      </c>
      <c r="B4" t="s">
        <v>34</v>
      </c>
      <c r="C4">
        <v>4</v>
      </c>
      <c r="D4" t="s">
        <v>86</v>
      </c>
      <c r="E4" t="s">
        <v>84</v>
      </c>
    </row>
    <row r="5" spans="1:5">
      <c r="A5" t="s">
        <v>69</v>
      </c>
      <c r="B5" t="s">
        <v>35</v>
      </c>
      <c r="C5">
        <v>4</v>
      </c>
      <c r="D5" t="s">
        <v>87</v>
      </c>
      <c r="E5" t="s">
        <v>84</v>
      </c>
    </row>
    <row r="6" spans="1:5">
      <c r="A6" t="s">
        <v>70</v>
      </c>
      <c r="B6" t="s">
        <v>36</v>
      </c>
      <c r="C6">
        <v>4</v>
      </c>
      <c r="D6" t="s">
        <v>88</v>
      </c>
      <c r="E6" t="s">
        <v>84</v>
      </c>
    </row>
    <row r="7" spans="1:5">
      <c r="A7" t="s">
        <v>71</v>
      </c>
      <c r="B7" t="s">
        <v>37</v>
      </c>
      <c r="C7">
        <v>4</v>
      </c>
      <c r="D7" t="s">
        <v>85</v>
      </c>
      <c r="E7" t="s">
        <v>84</v>
      </c>
    </row>
    <row r="8" spans="1:5">
      <c r="A8" t="s">
        <v>72</v>
      </c>
      <c r="B8" t="s">
        <v>45</v>
      </c>
      <c r="C8">
        <v>4</v>
      </c>
      <c r="D8" t="s">
        <v>89</v>
      </c>
      <c r="E8" t="s">
        <v>84</v>
      </c>
    </row>
    <row r="9" spans="1:5">
      <c r="A9" t="s">
        <v>73</v>
      </c>
      <c r="B9" t="s">
        <v>44</v>
      </c>
      <c r="C9">
        <v>4</v>
      </c>
      <c r="D9" t="s">
        <v>90</v>
      </c>
      <c r="E9" t="s">
        <v>84</v>
      </c>
    </row>
    <row r="10" spans="1:5">
      <c r="A10" t="s">
        <v>74</v>
      </c>
      <c r="B10" t="s">
        <v>38</v>
      </c>
      <c r="C10">
        <v>4</v>
      </c>
      <c r="D10" t="s">
        <v>87</v>
      </c>
      <c r="E10" t="s">
        <v>84</v>
      </c>
    </row>
    <row r="11" spans="1:5">
      <c r="A11" t="s">
        <v>75</v>
      </c>
      <c r="B11" t="s">
        <v>39</v>
      </c>
      <c r="C11">
        <v>4</v>
      </c>
      <c r="D11" t="s">
        <v>90</v>
      </c>
      <c r="E11" t="s">
        <v>84</v>
      </c>
    </row>
    <row r="12" spans="1:5">
      <c r="A12" t="s">
        <v>76</v>
      </c>
      <c r="B12" t="s">
        <v>41</v>
      </c>
      <c r="C12">
        <v>5</v>
      </c>
      <c r="D12" t="s">
        <v>85</v>
      </c>
      <c r="E12" t="s">
        <v>84</v>
      </c>
    </row>
    <row r="13" spans="1:5">
      <c r="A13" t="s">
        <v>77</v>
      </c>
      <c r="B13" t="s">
        <v>46</v>
      </c>
      <c r="C13">
        <v>3</v>
      </c>
      <c r="D13" t="s">
        <v>91</v>
      </c>
      <c r="E13" t="s">
        <v>84</v>
      </c>
    </row>
    <row r="14" spans="1:5">
      <c r="A14" t="s">
        <v>78</v>
      </c>
      <c r="B14" t="s">
        <v>42</v>
      </c>
      <c r="C14">
        <v>3</v>
      </c>
      <c r="D14" t="s">
        <v>90</v>
      </c>
      <c r="E14" t="s">
        <v>84</v>
      </c>
    </row>
    <row r="15" spans="1:5">
      <c r="A15" t="s">
        <v>79</v>
      </c>
      <c r="B15" t="s">
        <v>43</v>
      </c>
      <c r="C15">
        <v>3</v>
      </c>
      <c r="D15" t="s">
        <v>83</v>
      </c>
      <c r="E15" t="s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showGridLines="0" tabSelected="1" workbookViewId="0">
      <pane ySplit="1" topLeftCell="A2" activePane="bottomLeft" state="frozen"/>
      <selection pane="bottomLeft" activeCell="E1" sqref="A1:E1"/>
    </sheetView>
  </sheetViews>
  <sheetFormatPr defaultRowHeight="14.25"/>
  <cols>
    <col min="1" max="1" width="17" customWidth="1"/>
    <col min="2" max="2" width="63" customWidth="1"/>
    <col min="3" max="3" width="40" customWidth="1"/>
    <col min="4" max="4" width="78" customWidth="1"/>
    <col min="5" max="5" width="23" customWidth="1"/>
  </cols>
  <sheetData>
    <row r="1" spans="1:5" ht="32.1" customHeight="1">
      <c r="A1" s="1" t="s">
        <v>47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>
      <c r="A2" t="s">
        <v>56</v>
      </c>
      <c r="B2" s="2" t="s">
        <v>32</v>
      </c>
      <c r="C2" s="2" t="s">
        <v>96</v>
      </c>
      <c r="D2" s="2" t="s">
        <v>97</v>
      </c>
      <c r="E2" t="s">
        <v>98</v>
      </c>
    </row>
    <row r="3" spans="1:5">
      <c r="A3" t="s">
        <v>67</v>
      </c>
      <c r="B3" s="2" t="s">
        <v>33</v>
      </c>
      <c r="C3" s="2" t="s">
        <v>99</v>
      </c>
      <c r="D3" s="2" t="s">
        <v>100</v>
      </c>
      <c r="E3" t="s">
        <v>98</v>
      </c>
    </row>
    <row r="4" spans="1:5">
      <c r="A4" t="s">
        <v>68</v>
      </c>
      <c r="B4" s="2" t="s">
        <v>34</v>
      </c>
      <c r="C4" s="2" t="s">
        <v>99</v>
      </c>
      <c r="D4" s="2" t="s">
        <v>100</v>
      </c>
      <c r="E4" t="s">
        <v>98</v>
      </c>
    </row>
    <row r="5" spans="1:5">
      <c r="A5" t="s">
        <v>69</v>
      </c>
      <c r="B5" s="2" t="s">
        <v>35</v>
      </c>
      <c r="C5" s="2" t="s">
        <v>99</v>
      </c>
      <c r="D5" s="2" t="s">
        <v>100</v>
      </c>
      <c r="E5" t="s">
        <v>98</v>
      </c>
    </row>
    <row r="6" spans="1:5">
      <c r="A6" t="s">
        <v>70</v>
      </c>
      <c r="B6" s="2" t="s">
        <v>36</v>
      </c>
      <c r="C6" s="2" t="s">
        <v>99</v>
      </c>
      <c r="D6" s="2" t="s">
        <v>100</v>
      </c>
      <c r="E6" t="s">
        <v>98</v>
      </c>
    </row>
    <row r="7" spans="1:5">
      <c r="A7" t="s">
        <v>71</v>
      </c>
      <c r="B7" s="2" t="s">
        <v>37</v>
      </c>
      <c r="C7" s="2" t="s">
        <v>99</v>
      </c>
      <c r="D7" s="2" t="s">
        <v>100</v>
      </c>
      <c r="E7" t="s">
        <v>98</v>
      </c>
    </row>
    <row r="8" spans="1:5">
      <c r="A8" t="s">
        <v>74</v>
      </c>
      <c r="B8" s="2" t="s">
        <v>38</v>
      </c>
      <c r="C8" s="2" t="s">
        <v>99</v>
      </c>
      <c r="D8" s="2" t="s">
        <v>100</v>
      </c>
      <c r="E8" t="s">
        <v>98</v>
      </c>
    </row>
    <row r="9" spans="1:5">
      <c r="A9" t="s">
        <v>75</v>
      </c>
      <c r="B9" s="2" t="s">
        <v>39</v>
      </c>
      <c r="C9" s="2" t="s">
        <v>99</v>
      </c>
      <c r="D9" s="2" t="s">
        <v>100</v>
      </c>
      <c r="E9" t="s">
        <v>98</v>
      </c>
    </row>
    <row r="10" spans="1:5">
      <c r="A10" t="s">
        <v>101</v>
      </c>
      <c r="B10" s="2" t="s">
        <v>40</v>
      </c>
      <c r="C10" s="2" t="s">
        <v>102</v>
      </c>
      <c r="D10" s="2" t="s">
        <v>103</v>
      </c>
      <c r="E10" t="s">
        <v>104</v>
      </c>
    </row>
    <row r="11" spans="1:5">
      <c r="A11" t="s">
        <v>76</v>
      </c>
      <c r="B11" s="2" t="s">
        <v>41</v>
      </c>
      <c r="C11" s="2" t="s">
        <v>99</v>
      </c>
      <c r="D11" s="2" t="s">
        <v>100</v>
      </c>
      <c r="E11" t="s">
        <v>98</v>
      </c>
    </row>
    <row r="12" spans="1:5">
      <c r="A12" t="s">
        <v>78</v>
      </c>
      <c r="B12" s="2" t="s">
        <v>42</v>
      </c>
      <c r="C12" s="2" t="s">
        <v>96</v>
      </c>
      <c r="D12" s="2" t="s">
        <v>97</v>
      </c>
      <c r="E12" t="s">
        <v>98</v>
      </c>
    </row>
    <row r="13" spans="1:5">
      <c r="A13" t="s">
        <v>79</v>
      </c>
      <c r="B13" s="2" t="s">
        <v>43</v>
      </c>
      <c r="C13" s="2" t="s">
        <v>99</v>
      </c>
      <c r="D13" s="2" t="s">
        <v>100</v>
      </c>
      <c r="E13" t="s">
        <v>98</v>
      </c>
    </row>
    <row r="14" spans="1:5">
      <c r="A14" t="s">
        <v>73</v>
      </c>
      <c r="B14" s="2" t="s">
        <v>44</v>
      </c>
      <c r="C14" s="2" t="s">
        <v>102</v>
      </c>
      <c r="D14" s="2" t="s">
        <v>103</v>
      </c>
      <c r="E14" t="s">
        <v>98</v>
      </c>
    </row>
    <row r="15" spans="1:5">
      <c r="A15" t="s">
        <v>72</v>
      </c>
      <c r="B15" s="2" t="s">
        <v>45</v>
      </c>
      <c r="C15" s="2" t="s">
        <v>102</v>
      </c>
      <c r="D15" s="2" t="s">
        <v>103</v>
      </c>
      <c r="E15" t="s">
        <v>98</v>
      </c>
    </row>
    <row r="16" spans="1:5">
      <c r="A16" t="s">
        <v>77</v>
      </c>
      <c r="B16" s="2" t="s">
        <v>46</v>
      </c>
      <c r="C16" s="2" t="s">
        <v>96</v>
      </c>
      <c r="D16" s="2" t="s">
        <v>97</v>
      </c>
      <c r="E16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Skill Matrix</vt:lpstr>
      <vt:lpstr>Skills</vt:lpstr>
      <vt:lpstr>JobZones</vt:lpstr>
      <vt:lpstr>Scope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Dass</cp:lastModifiedBy>
  <dcterms:modified xsi:type="dcterms:W3CDTF">2026-09-26T14:59:18Z</dcterms:modified>
</cp:coreProperties>
</file>